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smae\Documents\GitHub\homesite-hns\public\"/>
    </mc:Choice>
  </mc:AlternateContent>
  <xr:revisionPtr revIDLastSave="0" documentId="13_ncr:1_{74489500-D2EC-4F42-AEC1-12C77DB46EE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Life Expectan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6" i="1" l="1"/>
  <c r="E2" i="1"/>
  <c r="F2" i="1" s="1"/>
  <c r="D2" i="1"/>
  <c r="F20" i="1"/>
  <c r="F32" i="1"/>
  <c r="F44" i="1"/>
  <c r="F56" i="1"/>
  <c r="F68" i="1"/>
  <c r="F80" i="1"/>
  <c r="F92" i="1"/>
  <c r="F104" i="1"/>
  <c r="F116" i="1"/>
  <c r="F128" i="1"/>
  <c r="F140" i="1"/>
  <c r="F152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E153" i="1"/>
  <c r="F153" i="1" s="1"/>
  <c r="E154" i="1"/>
  <c r="F154" i="1" s="1"/>
  <c r="E155" i="1"/>
  <c r="F155" i="1" s="1"/>
  <c r="E156" i="1"/>
  <c r="F156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</calcChain>
</file>

<file path=xl/sharedStrings.xml><?xml version="1.0" encoding="utf-8"?>
<sst xmlns="http://schemas.openxmlformats.org/spreadsheetml/2006/main" count="6" uniqueCount="6">
  <si>
    <t>Year</t>
  </si>
  <si>
    <t>Lifetime</t>
  </si>
  <si>
    <t>Floor_PE</t>
  </si>
  <si>
    <t>PE_Value</t>
  </si>
  <si>
    <t>Life_expectancy</t>
  </si>
  <si>
    <t>Fair_PE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</si>
</sst>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2" fontId="2" fillId="0" borderId="1" xfId="1" applyNumberFormat="1" applyFont="1" applyBorder="1"/>
  </cellXfs>
  <cellStyles count="2">
    <cellStyle name="Normal" xfId="0" builtinId="0"/>
    <cellStyle name="Percentat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"/>
  <sheetViews>
    <sheetView tabSelected="1" zoomScale="93" zoomScaleNormal="93" workbookViewId="0">
      <pane ySplit="1" topLeftCell="A117" activePane="bottomLeft" state="frozen"/>
      <selection pane="bottomLeft" activeCell="A157" sqref="A157:XFD738"/>
    </sheetView>
  </sheetViews>
  <sheetFormatPr defaultRowHeight="14.5" x14ac:dyDescent="0.35"/>
  <cols>
    <col min="1" max="1" width="10" customWidth="1"/>
    <col min="2" max="2" width="15.81640625" customWidth="1"/>
    <col min="3" max="3" width="14" customWidth="1"/>
    <col min="4" max="4" width="12" customWidth="1"/>
    <col min="5" max="5" width="11.36328125" customWidth="1"/>
    <col min="6" max="6" width="10.7265625" customWidth="1"/>
  </cols>
  <sheetData>
    <row r="1" spans="1:6" x14ac:dyDescent="0.35">
      <c r="A1" s="1" t="s">
        <v>0</v>
      </c>
      <c r="B1" s="1" t="s">
        <v>4</v>
      </c>
      <c r="C1" s="1" t="s">
        <v>3</v>
      </c>
      <c r="D1" s="1" t="s">
        <v>1</v>
      </c>
      <c r="E1" s="5" t="s">
        <v>5</v>
      </c>
      <c r="F1" s="5" t="s">
        <v>2</v>
      </c>
    </row>
    <row r="2" spans="1:6" x14ac:dyDescent="0.35">
      <c r="A2" s="2">
        <v>1872</v>
      </c>
      <c r="B2" s="3">
        <v>37</v>
      </c>
      <c r="C2" s="4">
        <v>11.9</v>
      </c>
      <c r="D2" s="6">
        <f>C2/B2</f>
        <v>0.32162162162162161</v>
      </c>
      <c r="E2" s="4">
        <f>B2*0.28</f>
        <v>10.360000000000001</v>
      </c>
      <c r="F2" s="4">
        <f t="shared" ref="F2:F6" si="0">E2/3</f>
        <v>3.4533333333333336</v>
      </c>
    </row>
    <row r="3" spans="1:6" x14ac:dyDescent="0.35">
      <c r="A3" s="2">
        <v>1873</v>
      </c>
      <c r="B3" s="3">
        <v>37.200000000000003</v>
      </c>
      <c r="C3" s="4">
        <v>12.25</v>
      </c>
      <c r="D3" s="6">
        <f t="shared" ref="D3:D66" si="1">C3/B3</f>
        <v>0.32930107526881719</v>
      </c>
      <c r="E3" s="4">
        <f t="shared" ref="E3:E66" si="2">B3*0.28</f>
        <v>10.416000000000002</v>
      </c>
      <c r="F3" s="4">
        <f t="shared" si="0"/>
        <v>3.4720000000000009</v>
      </c>
    </row>
    <row r="4" spans="1:6" x14ac:dyDescent="0.35">
      <c r="A4" s="2">
        <v>1874</v>
      </c>
      <c r="B4" s="3">
        <v>37.5</v>
      </c>
      <c r="C4" s="4">
        <v>11.33</v>
      </c>
      <c r="D4" s="6">
        <f t="shared" si="1"/>
        <v>0.30213333333333331</v>
      </c>
      <c r="E4" s="4">
        <f t="shared" si="2"/>
        <v>10.500000000000002</v>
      </c>
      <c r="F4" s="4">
        <f t="shared" si="0"/>
        <v>3.5000000000000004</v>
      </c>
    </row>
    <row r="5" spans="1:6" x14ac:dyDescent="0.35">
      <c r="A5" s="2">
        <v>1875</v>
      </c>
      <c r="B5" s="3">
        <v>37.799999999999997</v>
      </c>
      <c r="C5" s="4">
        <v>11.41</v>
      </c>
      <c r="D5" s="6">
        <f t="shared" si="1"/>
        <v>0.30185185185185187</v>
      </c>
      <c r="E5" s="4">
        <f t="shared" si="2"/>
        <v>10.584</v>
      </c>
      <c r="F5" s="4">
        <f t="shared" si="0"/>
        <v>3.528</v>
      </c>
    </row>
    <row r="6" spans="1:6" x14ac:dyDescent="0.35">
      <c r="A6" s="2">
        <v>1876</v>
      </c>
      <c r="B6" s="3">
        <v>38</v>
      </c>
      <c r="C6" s="4">
        <v>11.79</v>
      </c>
      <c r="D6" s="6">
        <f t="shared" si="1"/>
        <v>0.3102631578947368</v>
      </c>
      <c r="E6" s="4">
        <f t="shared" si="2"/>
        <v>10.64</v>
      </c>
      <c r="F6" s="4">
        <f t="shared" si="0"/>
        <v>3.5466666666666669</v>
      </c>
    </row>
    <row r="7" spans="1:6" x14ac:dyDescent="0.35">
      <c r="A7" s="2">
        <v>1877</v>
      </c>
      <c r="B7" s="3">
        <v>38.200000000000003</v>
      </c>
      <c r="C7" s="4">
        <v>9.52</v>
      </c>
      <c r="D7" s="6">
        <f t="shared" si="1"/>
        <v>0.24921465968586384</v>
      </c>
      <c r="E7" s="4">
        <f t="shared" si="2"/>
        <v>10.696000000000002</v>
      </c>
      <c r="F7" s="4">
        <f>E7/3</f>
        <v>3.5653333333333337</v>
      </c>
    </row>
    <row r="8" spans="1:6" x14ac:dyDescent="0.35">
      <c r="A8" s="2">
        <v>1878</v>
      </c>
      <c r="B8" s="3">
        <v>38.5</v>
      </c>
      <c r="C8" s="4">
        <v>10.57</v>
      </c>
      <c r="D8" s="6">
        <f t="shared" si="1"/>
        <v>0.27454545454545454</v>
      </c>
      <c r="E8" s="4">
        <f t="shared" si="2"/>
        <v>10.780000000000001</v>
      </c>
      <c r="F8" s="4">
        <f t="shared" ref="F8:F71" si="3">E8/3</f>
        <v>3.5933333333333337</v>
      </c>
    </row>
    <row r="9" spans="1:6" x14ac:dyDescent="0.35">
      <c r="A9" s="2">
        <v>1879</v>
      </c>
      <c r="B9" s="3">
        <v>38.799999999999997</v>
      </c>
      <c r="C9" s="4">
        <v>12.87</v>
      </c>
      <c r="D9" s="6">
        <f t="shared" si="1"/>
        <v>0.33170103092783504</v>
      </c>
      <c r="E9" s="4">
        <f t="shared" si="2"/>
        <v>10.864000000000001</v>
      </c>
      <c r="F9" s="4">
        <f t="shared" si="3"/>
        <v>3.6213333333333337</v>
      </c>
    </row>
    <row r="10" spans="1:6" x14ac:dyDescent="0.35">
      <c r="A10" s="2">
        <v>1880</v>
      </c>
      <c r="B10" s="3">
        <v>39</v>
      </c>
      <c r="C10" s="4">
        <v>14.87</v>
      </c>
      <c r="D10" s="6">
        <f t="shared" si="1"/>
        <v>0.38128205128205128</v>
      </c>
      <c r="E10" s="4">
        <f t="shared" si="2"/>
        <v>10.920000000000002</v>
      </c>
      <c r="F10" s="4">
        <f t="shared" si="3"/>
        <v>3.6400000000000006</v>
      </c>
    </row>
    <row r="11" spans="1:6" x14ac:dyDescent="0.35">
      <c r="A11" s="2">
        <v>1881</v>
      </c>
      <c r="B11" s="3">
        <v>39.200000000000003</v>
      </c>
      <c r="C11" s="4">
        <v>18.47</v>
      </c>
      <c r="D11" s="6">
        <f t="shared" si="1"/>
        <v>0.47117346938775506</v>
      </c>
      <c r="E11" s="4">
        <f t="shared" si="2"/>
        <v>10.976000000000003</v>
      </c>
      <c r="F11" s="4">
        <f>E11/3</f>
        <v>3.6586666666666674</v>
      </c>
    </row>
    <row r="12" spans="1:6" x14ac:dyDescent="0.35">
      <c r="A12" s="2">
        <v>1882</v>
      </c>
      <c r="B12" s="3">
        <v>39.4</v>
      </c>
      <c r="C12" s="4">
        <v>15.68</v>
      </c>
      <c r="D12" s="6">
        <f t="shared" si="1"/>
        <v>0.39796954314720812</v>
      </c>
      <c r="E12" s="4">
        <f t="shared" si="2"/>
        <v>11.032</v>
      </c>
      <c r="F12" s="4">
        <f t="shared" si="3"/>
        <v>3.6773333333333333</v>
      </c>
    </row>
    <row r="13" spans="1:6" x14ac:dyDescent="0.35">
      <c r="A13" s="2">
        <v>1883</v>
      </c>
      <c r="B13" s="3">
        <v>39.6</v>
      </c>
      <c r="C13" s="4">
        <v>15.27</v>
      </c>
      <c r="D13" s="6">
        <f t="shared" si="1"/>
        <v>0.38560606060606056</v>
      </c>
      <c r="E13" s="4">
        <f t="shared" si="2"/>
        <v>11.088000000000001</v>
      </c>
      <c r="F13" s="4">
        <f t="shared" si="3"/>
        <v>3.6960000000000002</v>
      </c>
    </row>
    <row r="14" spans="1:6" x14ac:dyDescent="0.35">
      <c r="A14" s="2">
        <v>1884</v>
      </c>
      <c r="B14" s="3">
        <v>39.799999999999997</v>
      </c>
      <c r="C14" s="4">
        <v>14.43</v>
      </c>
      <c r="D14" s="6">
        <f t="shared" si="1"/>
        <v>0.36256281407035179</v>
      </c>
      <c r="E14" s="4">
        <f t="shared" si="2"/>
        <v>11.144</v>
      </c>
      <c r="F14" s="4">
        <f t="shared" si="3"/>
        <v>3.7146666666666666</v>
      </c>
    </row>
    <row r="15" spans="1:6" x14ac:dyDescent="0.35">
      <c r="A15" s="2">
        <v>1885</v>
      </c>
      <c r="B15" s="3">
        <v>40</v>
      </c>
      <c r="C15" s="4">
        <v>13.13</v>
      </c>
      <c r="D15" s="6">
        <f t="shared" si="1"/>
        <v>0.32825000000000004</v>
      </c>
      <c r="E15" s="4">
        <f t="shared" si="2"/>
        <v>11.200000000000001</v>
      </c>
      <c r="F15" s="4">
        <f t="shared" si="3"/>
        <v>3.7333333333333338</v>
      </c>
    </row>
    <row r="16" spans="1:6" x14ac:dyDescent="0.35">
      <c r="A16" s="2">
        <v>1886</v>
      </c>
      <c r="B16" s="3">
        <v>40.200000000000003</v>
      </c>
      <c r="C16" s="4">
        <v>16.7</v>
      </c>
      <c r="D16" s="6">
        <f t="shared" si="1"/>
        <v>0.41542288557213924</v>
      </c>
      <c r="E16" s="4">
        <f t="shared" si="2"/>
        <v>11.256000000000002</v>
      </c>
      <c r="F16" s="4">
        <f t="shared" si="3"/>
        <v>3.7520000000000007</v>
      </c>
    </row>
    <row r="17" spans="1:6" x14ac:dyDescent="0.35">
      <c r="A17" s="2">
        <v>1887</v>
      </c>
      <c r="B17" s="3">
        <v>40.4</v>
      </c>
      <c r="C17" s="4">
        <v>17.52</v>
      </c>
      <c r="D17" s="6">
        <f t="shared" si="1"/>
        <v>0.43366336633663366</v>
      </c>
      <c r="E17" s="4">
        <f t="shared" si="2"/>
        <v>11.312000000000001</v>
      </c>
      <c r="F17" s="4">
        <f t="shared" si="3"/>
        <v>3.7706666666666671</v>
      </c>
    </row>
    <row r="18" spans="1:6" x14ac:dyDescent="0.35">
      <c r="A18" s="2">
        <v>1888</v>
      </c>
      <c r="B18" s="3">
        <v>40.6</v>
      </c>
      <c r="C18" s="4">
        <v>15.36</v>
      </c>
      <c r="D18" s="6">
        <f t="shared" si="1"/>
        <v>0.37832512315270933</v>
      </c>
      <c r="E18" s="4">
        <f t="shared" si="2"/>
        <v>11.368000000000002</v>
      </c>
      <c r="F18" s="4">
        <f t="shared" si="3"/>
        <v>3.7893333333333339</v>
      </c>
    </row>
    <row r="19" spans="1:6" x14ac:dyDescent="0.35">
      <c r="A19" s="2">
        <v>1889</v>
      </c>
      <c r="B19" s="3">
        <v>40.799999999999997</v>
      </c>
      <c r="C19" s="4">
        <v>15.81</v>
      </c>
      <c r="D19" s="6">
        <f t="shared" si="1"/>
        <v>0.38750000000000007</v>
      </c>
      <c r="E19" s="4">
        <f t="shared" si="2"/>
        <v>11.423999999999999</v>
      </c>
      <c r="F19" s="4">
        <f t="shared" si="3"/>
        <v>3.8079999999999998</v>
      </c>
    </row>
    <row r="20" spans="1:6" x14ac:dyDescent="0.35">
      <c r="A20" s="2">
        <v>1890</v>
      </c>
      <c r="B20" s="3">
        <v>41</v>
      </c>
      <c r="C20" s="4">
        <v>17.22</v>
      </c>
      <c r="D20" s="6">
        <f t="shared" si="1"/>
        <v>0.42</v>
      </c>
      <c r="E20" s="4">
        <f t="shared" si="2"/>
        <v>11.48</v>
      </c>
      <c r="F20" s="4">
        <f t="shared" si="3"/>
        <v>3.8266666666666667</v>
      </c>
    </row>
    <row r="21" spans="1:6" x14ac:dyDescent="0.35">
      <c r="A21" s="2">
        <v>1891</v>
      </c>
      <c r="B21" s="3">
        <v>41.5</v>
      </c>
      <c r="C21" s="4">
        <v>15.43</v>
      </c>
      <c r="D21" s="6">
        <f t="shared" si="1"/>
        <v>0.37180722891566265</v>
      </c>
      <c r="E21" s="4">
        <f t="shared" si="2"/>
        <v>11.620000000000001</v>
      </c>
      <c r="F21" s="4">
        <f t="shared" si="3"/>
        <v>3.8733333333333335</v>
      </c>
    </row>
    <row r="22" spans="1:6" x14ac:dyDescent="0.35">
      <c r="A22" s="2">
        <v>1892</v>
      </c>
      <c r="B22" s="3">
        <v>42</v>
      </c>
      <c r="C22" s="4">
        <v>19.010000000000002</v>
      </c>
      <c r="D22" s="6">
        <f t="shared" si="1"/>
        <v>0.45261904761904764</v>
      </c>
      <c r="E22" s="4">
        <f t="shared" si="2"/>
        <v>11.760000000000002</v>
      </c>
      <c r="F22" s="4">
        <f t="shared" si="3"/>
        <v>3.9200000000000004</v>
      </c>
    </row>
    <row r="23" spans="1:6" x14ac:dyDescent="0.35">
      <c r="A23" s="2">
        <v>1893</v>
      </c>
      <c r="B23" s="3">
        <v>42.5</v>
      </c>
      <c r="C23" s="4">
        <v>17.649999999999999</v>
      </c>
      <c r="D23" s="6">
        <f t="shared" si="1"/>
        <v>0.41529411764705881</v>
      </c>
      <c r="E23" s="4">
        <f t="shared" si="2"/>
        <v>11.9</v>
      </c>
      <c r="F23" s="4">
        <f t="shared" si="3"/>
        <v>3.9666666666666668</v>
      </c>
    </row>
    <row r="24" spans="1:6" x14ac:dyDescent="0.35">
      <c r="A24" s="2">
        <v>1894</v>
      </c>
      <c r="B24" s="3">
        <v>43</v>
      </c>
      <c r="C24" s="4">
        <v>15.74</v>
      </c>
      <c r="D24" s="6">
        <f t="shared" si="1"/>
        <v>0.36604651162790697</v>
      </c>
      <c r="E24" s="4">
        <f t="shared" si="2"/>
        <v>12.040000000000001</v>
      </c>
      <c r="F24" s="4">
        <f t="shared" si="3"/>
        <v>4.0133333333333336</v>
      </c>
    </row>
    <row r="25" spans="1:6" x14ac:dyDescent="0.35">
      <c r="A25" s="2">
        <v>1895</v>
      </c>
      <c r="B25" s="3">
        <v>43.5</v>
      </c>
      <c r="C25" s="4">
        <v>16.510000000000002</v>
      </c>
      <c r="D25" s="6">
        <f t="shared" si="1"/>
        <v>0.37954022988505753</v>
      </c>
      <c r="E25" s="4">
        <f t="shared" si="2"/>
        <v>12.180000000000001</v>
      </c>
      <c r="F25" s="4">
        <f t="shared" si="3"/>
        <v>4.0600000000000005</v>
      </c>
    </row>
    <row r="26" spans="1:6" x14ac:dyDescent="0.35">
      <c r="A26" s="2">
        <v>1896</v>
      </c>
      <c r="B26" s="3">
        <v>44</v>
      </c>
      <c r="C26" s="4">
        <v>16.579999999999998</v>
      </c>
      <c r="D26" s="6">
        <f t="shared" si="1"/>
        <v>0.37681818181818177</v>
      </c>
      <c r="E26" s="4">
        <f t="shared" si="2"/>
        <v>12.32</v>
      </c>
      <c r="F26" s="4">
        <f t="shared" si="3"/>
        <v>4.1066666666666665</v>
      </c>
    </row>
    <row r="27" spans="1:6" x14ac:dyDescent="0.35">
      <c r="A27" s="2">
        <v>1897</v>
      </c>
      <c r="B27" s="3">
        <v>44.5</v>
      </c>
      <c r="C27" s="4">
        <v>17.03</v>
      </c>
      <c r="D27" s="6">
        <f t="shared" si="1"/>
        <v>0.38269662921348319</v>
      </c>
      <c r="E27" s="4">
        <f t="shared" si="2"/>
        <v>12.46</v>
      </c>
      <c r="F27" s="4">
        <f t="shared" si="3"/>
        <v>4.1533333333333333</v>
      </c>
    </row>
    <row r="28" spans="1:6" x14ac:dyDescent="0.35">
      <c r="A28" s="2">
        <v>1898</v>
      </c>
      <c r="B28" s="3">
        <v>45</v>
      </c>
      <c r="C28" s="4">
        <v>19.25</v>
      </c>
      <c r="D28" s="6">
        <f t="shared" si="1"/>
        <v>0.42777777777777776</v>
      </c>
      <c r="E28" s="4">
        <f t="shared" si="2"/>
        <v>12.600000000000001</v>
      </c>
      <c r="F28" s="4">
        <f t="shared" si="3"/>
        <v>4.2</v>
      </c>
    </row>
    <row r="29" spans="1:6" x14ac:dyDescent="0.35">
      <c r="A29" s="2">
        <v>1899</v>
      </c>
      <c r="B29" s="3">
        <v>45.5</v>
      </c>
      <c r="C29" s="4">
        <v>22.92</v>
      </c>
      <c r="D29" s="6">
        <f t="shared" si="1"/>
        <v>0.50373626373626379</v>
      </c>
      <c r="E29" s="4">
        <f t="shared" si="2"/>
        <v>12.740000000000002</v>
      </c>
      <c r="F29" s="4">
        <f t="shared" si="3"/>
        <v>4.246666666666667</v>
      </c>
    </row>
    <row r="30" spans="1:6" x14ac:dyDescent="0.35">
      <c r="A30" s="2">
        <v>1900</v>
      </c>
      <c r="B30" s="3">
        <v>46</v>
      </c>
      <c r="C30" s="4">
        <v>18.670000000000002</v>
      </c>
      <c r="D30" s="6">
        <f t="shared" si="1"/>
        <v>0.40586956521739131</v>
      </c>
      <c r="E30" s="4">
        <f t="shared" si="2"/>
        <v>12.88</v>
      </c>
      <c r="F30" s="4">
        <f t="shared" si="3"/>
        <v>4.2933333333333339</v>
      </c>
    </row>
    <row r="31" spans="1:6" x14ac:dyDescent="0.35">
      <c r="A31" s="2">
        <v>1901</v>
      </c>
      <c r="B31" s="3">
        <v>46.5</v>
      </c>
      <c r="C31" s="4">
        <v>20.97</v>
      </c>
      <c r="D31" s="6">
        <f t="shared" si="1"/>
        <v>0.45096774193548383</v>
      </c>
      <c r="E31" s="4">
        <f t="shared" si="2"/>
        <v>13.020000000000001</v>
      </c>
      <c r="F31" s="4">
        <f t="shared" si="3"/>
        <v>4.3400000000000007</v>
      </c>
    </row>
    <row r="32" spans="1:6" x14ac:dyDescent="0.35">
      <c r="A32" s="2">
        <v>1902</v>
      </c>
      <c r="B32" s="3">
        <v>47</v>
      </c>
      <c r="C32" s="4">
        <v>22.34</v>
      </c>
      <c r="D32" s="6">
        <f t="shared" si="1"/>
        <v>0.47531914893617022</v>
      </c>
      <c r="E32" s="4">
        <f t="shared" si="2"/>
        <v>13.160000000000002</v>
      </c>
      <c r="F32" s="4">
        <f t="shared" si="3"/>
        <v>4.3866666666666676</v>
      </c>
    </row>
    <row r="33" spans="1:6" x14ac:dyDescent="0.35">
      <c r="A33" s="2">
        <v>1903</v>
      </c>
      <c r="B33" s="3">
        <v>47.5</v>
      </c>
      <c r="C33" s="4">
        <v>20.32</v>
      </c>
      <c r="D33" s="6">
        <f t="shared" si="1"/>
        <v>0.42778947368421055</v>
      </c>
      <c r="E33" s="4">
        <f t="shared" si="2"/>
        <v>13.3</v>
      </c>
      <c r="F33" s="4">
        <f t="shared" si="3"/>
        <v>4.4333333333333336</v>
      </c>
    </row>
    <row r="34" spans="1:6" x14ac:dyDescent="0.35">
      <c r="A34" s="2">
        <v>1904</v>
      </c>
      <c r="B34" s="3">
        <v>48</v>
      </c>
      <c r="C34" s="4">
        <v>15.86</v>
      </c>
      <c r="D34" s="6">
        <f t="shared" si="1"/>
        <v>0.33041666666666664</v>
      </c>
      <c r="E34" s="4">
        <f t="shared" si="2"/>
        <v>13.440000000000001</v>
      </c>
      <c r="F34" s="4">
        <f t="shared" si="3"/>
        <v>4.4800000000000004</v>
      </c>
    </row>
    <row r="35" spans="1:6" x14ac:dyDescent="0.35">
      <c r="A35" s="2">
        <v>1905</v>
      </c>
      <c r="B35" s="3">
        <v>48.5</v>
      </c>
      <c r="C35" s="4">
        <v>18.46</v>
      </c>
      <c r="D35" s="6">
        <f t="shared" si="1"/>
        <v>0.38061855670103095</v>
      </c>
      <c r="E35" s="4">
        <f t="shared" si="2"/>
        <v>13.580000000000002</v>
      </c>
      <c r="F35" s="4">
        <f t="shared" si="3"/>
        <v>4.5266666666666673</v>
      </c>
    </row>
    <row r="36" spans="1:6" x14ac:dyDescent="0.35">
      <c r="A36" s="2">
        <v>1906</v>
      </c>
      <c r="B36" s="3">
        <v>49</v>
      </c>
      <c r="C36" s="4">
        <v>20.13</v>
      </c>
      <c r="D36" s="6">
        <f t="shared" si="1"/>
        <v>0.41081632653061223</v>
      </c>
      <c r="E36" s="4">
        <f t="shared" si="2"/>
        <v>13.72</v>
      </c>
      <c r="F36" s="4">
        <f t="shared" si="3"/>
        <v>4.5733333333333333</v>
      </c>
    </row>
    <row r="37" spans="1:6" x14ac:dyDescent="0.35">
      <c r="A37" s="2">
        <v>1907</v>
      </c>
      <c r="B37" s="3">
        <v>49.5</v>
      </c>
      <c r="C37" s="4">
        <v>17.22</v>
      </c>
      <c r="D37" s="6">
        <f t="shared" si="1"/>
        <v>0.34787878787878784</v>
      </c>
      <c r="E37" s="4">
        <f t="shared" si="2"/>
        <v>13.860000000000001</v>
      </c>
      <c r="F37" s="4">
        <f t="shared" si="3"/>
        <v>4.62</v>
      </c>
    </row>
    <row r="38" spans="1:6" x14ac:dyDescent="0.35">
      <c r="A38" s="2">
        <v>1908</v>
      </c>
      <c r="B38" s="3">
        <v>50</v>
      </c>
      <c r="C38" s="4">
        <v>11.9</v>
      </c>
      <c r="D38" s="6">
        <f t="shared" si="1"/>
        <v>0.23800000000000002</v>
      </c>
      <c r="E38" s="4">
        <f t="shared" si="2"/>
        <v>14.000000000000002</v>
      </c>
      <c r="F38" s="4">
        <f t="shared" si="3"/>
        <v>4.666666666666667</v>
      </c>
    </row>
    <row r="39" spans="1:6" x14ac:dyDescent="0.35">
      <c r="A39" s="2">
        <v>1909</v>
      </c>
      <c r="B39" s="3">
        <v>50.5</v>
      </c>
      <c r="C39" s="4">
        <v>14.77</v>
      </c>
      <c r="D39" s="6">
        <f t="shared" si="1"/>
        <v>0.29247524752475246</v>
      </c>
      <c r="E39" s="4">
        <f t="shared" si="2"/>
        <v>14.14</v>
      </c>
      <c r="F39" s="4">
        <f t="shared" si="3"/>
        <v>4.7133333333333338</v>
      </c>
    </row>
    <row r="40" spans="1:6" x14ac:dyDescent="0.35">
      <c r="A40" s="2">
        <v>1910</v>
      </c>
      <c r="B40" s="3">
        <v>51</v>
      </c>
      <c r="C40" s="4">
        <v>14.54</v>
      </c>
      <c r="D40" s="6">
        <f t="shared" si="1"/>
        <v>0.28509803921568627</v>
      </c>
      <c r="E40" s="4">
        <f t="shared" si="2"/>
        <v>14.280000000000001</v>
      </c>
      <c r="F40" s="4">
        <f t="shared" si="3"/>
        <v>4.7600000000000007</v>
      </c>
    </row>
    <row r="41" spans="1:6" x14ac:dyDescent="0.35">
      <c r="A41" s="2">
        <v>1911</v>
      </c>
      <c r="B41" s="3">
        <v>51.7</v>
      </c>
      <c r="C41" s="4">
        <v>14.05</v>
      </c>
      <c r="D41" s="6">
        <f t="shared" si="1"/>
        <v>0.27176015473887816</v>
      </c>
      <c r="E41" s="4">
        <f t="shared" si="2"/>
        <v>14.476000000000003</v>
      </c>
      <c r="F41" s="4">
        <f t="shared" si="3"/>
        <v>4.8253333333333339</v>
      </c>
    </row>
    <row r="42" spans="1:6" x14ac:dyDescent="0.35">
      <c r="A42" s="2">
        <v>1912</v>
      </c>
      <c r="B42" s="3">
        <v>52.3</v>
      </c>
      <c r="C42" s="4">
        <v>13.8</v>
      </c>
      <c r="D42" s="6">
        <f t="shared" si="1"/>
        <v>0.26386233269598475</v>
      </c>
      <c r="E42" s="4">
        <f t="shared" si="2"/>
        <v>14.644</v>
      </c>
      <c r="F42" s="4">
        <f t="shared" si="3"/>
        <v>4.8813333333333331</v>
      </c>
    </row>
    <row r="43" spans="1:6" x14ac:dyDescent="0.35">
      <c r="A43" s="2">
        <v>1913</v>
      </c>
      <c r="B43" s="3">
        <v>53</v>
      </c>
      <c r="C43" s="4">
        <v>13.15</v>
      </c>
      <c r="D43" s="6">
        <f t="shared" si="1"/>
        <v>0.24811320754716981</v>
      </c>
      <c r="E43" s="4">
        <f t="shared" si="2"/>
        <v>14.840000000000002</v>
      </c>
      <c r="F43" s="4">
        <f t="shared" si="3"/>
        <v>4.9466666666666672</v>
      </c>
    </row>
    <row r="44" spans="1:6" x14ac:dyDescent="0.35">
      <c r="A44" s="2">
        <v>1914</v>
      </c>
      <c r="B44" s="3">
        <v>51.5</v>
      </c>
      <c r="C44" s="4">
        <v>11.64</v>
      </c>
      <c r="D44" s="6">
        <f t="shared" si="1"/>
        <v>0.22601941747572818</v>
      </c>
      <c r="E44" s="4">
        <f t="shared" si="2"/>
        <v>14.420000000000002</v>
      </c>
      <c r="F44" s="4">
        <f t="shared" si="3"/>
        <v>4.8066666666666675</v>
      </c>
    </row>
    <row r="45" spans="1:6" x14ac:dyDescent="0.35">
      <c r="A45" s="2">
        <v>1915</v>
      </c>
      <c r="B45" s="3">
        <v>50</v>
      </c>
      <c r="C45" s="4">
        <v>10.36</v>
      </c>
      <c r="D45" s="6">
        <f t="shared" si="1"/>
        <v>0.2072</v>
      </c>
      <c r="E45" s="4">
        <f t="shared" si="2"/>
        <v>14.000000000000002</v>
      </c>
      <c r="F45" s="4">
        <f t="shared" si="3"/>
        <v>4.666666666666667</v>
      </c>
    </row>
    <row r="46" spans="1:6" x14ac:dyDescent="0.35">
      <c r="A46" s="2">
        <v>1916</v>
      </c>
      <c r="B46" s="3">
        <v>46.7</v>
      </c>
      <c r="C46" s="4">
        <v>12.54</v>
      </c>
      <c r="D46" s="6">
        <f t="shared" si="1"/>
        <v>0.2685224839400428</v>
      </c>
      <c r="E46" s="4">
        <f t="shared" si="2"/>
        <v>13.076000000000002</v>
      </c>
      <c r="F46" s="4">
        <f t="shared" si="3"/>
        <v>4.3586666666666671</v>
      </c>
    </row>
    <row r="47" spans="1:6" x14ac:dyDescent="0.35">
      <c r="A47" s="2">
        <v>1917</v>
      </c>
      <c r="B47" s="3">
        <v>43.3</v>
      </c>
      <c r="C47" s="4">
        <v>10.99</v>
      </c>
      <c r="D47" s="6">
        <f t="shared" si="1"/>
        <v>0.25381062355658202</v>
      </c>
      <c r="E47" s="4">
        <f t="shared" si="2"/>
        <v>12.124000000000001</v>
      </c>
      <c r="F47" s="4">
        <f t="shared" si="3"/>
        <v>4.0413333333333332</v>
      </c>
    </row>
    <row r="48" spans="1:6" x14ac:dyDescent="0.35">
      <c r="A48" s="2">
        <v>1918</v>
      </c>
      <c r="B48" s="3">
        <v>40</v>
      </c>
      <c r="C48" s="4">
        <v>6.64</v>
      </c>
      <c r="D48" s="6">
        <f t="shared" si="1"/>
        <v>0.16599999999999998</v>
      </c>
      <c r="E48" s="4">
        <f t="shared" si="2"/>
        <v>11.200000000000001</v>
      </c>
      <c r="F48" s="4">
        <f>E48/3</f>
        <v>3.7333333333333338</v>
      </c>
    </row>
    <row r="49" spans="1:6" x14ac:dyDescent="0.35">
      <c r="A49" s="2">
        <v>1919</v>
      </c>
      <c r="B49" s="3">
        <v>47</v>
      </c>
      <c r="C49" s="4">
        <v>6.1</v>
      </c>
      <c r="D49" s="6">
        <f t="shared" si="1"/>
        <v>0.12978723404255318</v>
      </c>
      <c r="E49" s="4">
        <f t="shared" si="2"/>
        <v>13.160000000000002</v>
      </c>
      <c r="F49" s="4">
        <f t="shared" si="3"/>
        <v>4.3866666666666676</v>
      </c>
    </row>
    <row r="50" spans="1:6" x14ac:dyDescent="0.35">
      <c r="A50" s="2">
        <v>1920</v>
      </c>
      <c r="B50" s="3">
        <v>54</v>
      </c>
      <c r="C50" s="4">
        <v>5.99</v>
      </c>
      <c r="D50" s="6">
        <f t="shared" si="1"/>
        <v>0.11092592592592593</v>
      </c>
      <c r="E50" s="4">
        <f t="shared" si="2"/>
        <v>15.120000000000001</v>
      </c>
      <c r="F50" s="4">
        <f t="shared" si="3"/>
        <v>5.04</v>
      </c>
    </row>
    <row r="51" spans="1:6" x14ac:dyDescent="0.35">
      <c r="A51" s="2">
        <v>1921</v>
      </c>
      <c r="B51" s="3">
        <v>54.6</v>
      </c>
      <c r="C51" s="4">
        <v>5.12</v>
      </c>
      <c r="D51" s="6">
        <f t="shared" si="1"/>
        <v>9.3772893772893773E-2</v>
      </c>
      <c r="E51" s="4">
        <f t="shared" si="2"/>
        <v>15.288000000000002</v>
      </c>
      <c r="F51" s="4">
        <f t="shared" si="3"/>
        <v>5.096000000000001</v>
      </c>
    </row>
    <row r="52" spans="1:6" x14ac:dyDescent="0.35">
      <c r="A52" s="2">
        <v>1922</v>
      </c>
      <c r="B52" s="3">
        <v>55.2</v>
      </c>
      <c r="C52" s="4">
        <v>6.29</v>
      </c>
      <c r="D52" s="6">
        <f t="shared" si="1"/>
        <v>0.11394927536231883</v>
      </c>
      <c r="E52" s="4">
        <f t="shared" si="2"/>
        <v>15.456000000000003</v>
      </c>
      <c r="F52" s="4">
        <f t="shared" si="3"/>
        <v>5.152000000000001</v>
      </c>
    </row>
    <row r="53" spans="1:6" x14ac:dyDescent="0.35">
      <c r="A53" s="2">
        <v>1923</v>
      </c>
      <c r="B53" s="3">
        <v>55.8</v>
      </c>
      <c r="C53" s="4">
        <v>8.15</v>
      </c>
      <c r="D53" s="6">
        <f t="shared" si="1"/>
        <v>0.14605734767025091</v>
      </c>
      <c r="E53" s="4">
        <f t="shared" si="2"/>
        <v>15.624000000000001</v>
      </c>
      <c r="F53" s="4">
        <f t="shared" si="3"/>
        <v>5.2080000000000002</v>
      </c>
    </row>
    <row r="54" spans="1:6" x14ac:dyDescent="0.35">
      <c r="A54" s="2">
        <v>1924</v>
      </c>
      <c r="B54" s="3">
        <v>56.4</v>
      </c>
      <c r="C54" s="4">
        <v>8.07</v>
      </c>
      <c r="D54" s="6">
        <f t="shared" si="1"/>
        <v>0.14308510638297872</v>
      </c>
      <c r="E54" s="4">
        <f t="shared" si="2"/>
        <v>15.792000000000002</v>
      </c>
      <c r="F54" s="4">
        <f t="shared" si="3"/>
        <v>5.2640000000000002</v>
      </c>
    </row>
    <row r="55" spans="1:6" x14ac:dyDescent="0.35">
      <c r="A55" s="2">
        <v>1925</v>
      </c>
      <c r="B55" s="3">
        <v>57</v>
      </c>
      <c r="C55" s="4">
        <v>9.69</v>
      </c>
      <c r="D55" s="6">
        <f t="shared" si="1"/>
        <v>0.16999999999999998</v>
      </c>
      <c r="E55" s="4">
        <f t="shared" si="2"/>
        <v>15.96</v>
      </c>
      <c r="F55" s="4">
        <f t="shared" si="3"/>
        <v>5.32</v>
      </c>
    </row>
    <row r="56" spans="1:6" x14ac:dyDescent="0.35">
      <c r="A56" s="2">
        <v>1926</v>
      </c>
      <c r="B56" s="3">
        <v>57.6</v>
      </c>
      <c r="C56" s="4">
        <v>11.34</v>
      </c>
      <c r="D56" s="6">
        <f t="shared" si="1"/>
        <v>0.19687499999999999</v>
      </c>
      <c r="E56" s="4">
        <f t="shared" si="2"/>
        <v>16.128000000000004</v>
      </c>
      <c r="F56" s="4">
        <f t="shared" si="3"/>
        <v>5.3760000000000012</v>
      </c>
    </row>
    <row r="57" spans="1:6" x14ac:dyDescent="0.35">
      <c r="A57" s="2">
        <v>1927</v>
      </c>
      <c r="B57" s="3">
        <v>58.2</v>
      </c>
      <c r="C57" s="4">
        <v>13.19</v>
      </c>
      <c r="D57" s="6">
        <f t="shared" si="1"/>
        <v>0.22663230240549825</v>
      </c>
      <c r="E57" s="4">
        <f t="shared" si="2"/>
        <v>16.296000000000003</v>
      </c>
      <c r="F57" s="4">
        <f t="shared" si="3"/>
        <v>5.4320000000000013</v>
      </c>
    </row>
    <row r="58" spans="1:6" x14ac:dyDescent="0.35">
      <c r="A58" s="2">
        <v>1928</v>
      </c>
      <c r="B58" s="3">
        <v>58.8</v>
      </c>
      <c r="C58" s="4">
        <v>18.809999999999999</v>
      </c>
      <c r="D58" s="6">
        <f t="shared" si="1"/>
        <v>0.31989795918367347</v>
      </c>
      <c r="E58" s="4">
        <f t="shared" si="2"/>
        <v>16.464000000000002</v>
      </c>
      <c r="F58" s="4">
        <f t="shared" si="3"/>
        <v>5.4880000000000004</v>
      </c>
    </row>
    <row r="59" spans="1:6" x14ac:dyDescent="0.35">
      <c r="A59" s="2">
        <v>1929</v>
      </c>
      <c r="B59" s="3">
        <v>59.4</v>
      </c>
      <c r="C59" s="4">
        <v>27.08</v>
      </c>
      <c r="D59" s="6">
        <f t="shared" si="1"/>
        <v>0.45589225589225585</v>
      </c>
      <c r="E59" s="4">
        <f t="shared" si="2"/>
        <v>16.632000000000001</v>
      </c>
      <c r="F59" s="4">
        <f t="shared" si="3"/>
        <v>5.5440000000000005</v>
      </c>
    </row>
    <row r="60" spans="1:6" x14ac:dyDescent="0.35">
      <c r="A60" s="2">
        <v>1930</v>
      </c>
      <c r="B60" s="3">
        <v>60</v>
      </c>
      <c r="C60" s="4">
        <v>22.31</v>
      </c>
      <c r="D60" s="6">
        <f t="shared" si="1"/>
        <v>0.37183333333333329</v>
      </c>
      <c r="E60" s="4">
        <f t="shared" si="2"/>
        <v>16.8</v>
      </c>
      <c r="F60" s="4">
        <f t="shared" si="3"/>
        <v>5.6000000000000005</v>
      </c>
    </row>
    <row r="61" spans="1:6" x14ac:dyDescent="0.35">
      <c r="A61" s="2">
        <v>1931</v>
      </c>
      <c r="B61" s="3">
        <v>60.2</v>
      </c>
      <c r="C61" s="4">
        <v>16.71</v>
      </c>
      <c r="D61" s="6">
        <f t="shared" si="1"/>
        <v>0.27757475083056476</v>
      </c>
      <c r="E61" s="4">
        <f t="shared" si="2"/>
        <v>16.856000000000002</v>
      </c>
      <c r="F61" s="4">
        <f t="shared" si="3"/>
        <v>5.6186666666666669</v>
      </c>
    </row>
    <row r="62" spans="1:6" x14ac:dyDescent="0.35">
      <c r="A62" s="2">
        <v>1932</v>
      </c>
      <c r="B62" s="3">
        <v>60.4</v>
      </c>
      <c r="C62" s="4">
        <v>9.31</v>
      </c>
      <c r="D62" s="6">
        <f t="shared" si="1"/>
        <v>0.15413907284768213</v>
      </c>
      <c r="E62" s="4">
        <f t="shared" si="2"/>
        <v>16.912000000000003</v>
      </c>
      <c r="F62" s="4">
        <f t="shared" si="3"/>
        <v>5.6373333333333342</v>
      </c>
    </row>
    <row r="63" spans="1:6" x14ac:dyDescent="0.35">
      <c r="A63" s="2">
        <v>1933</v>
      </c>
      <c r="B63" s="3">
        <v>60.6</v>
      </c>
      <c r="C63" s="4">
        <v>8.73</v>
      </c>
      <c r="D63" s="6">
        <f t="shared" si="1"/>
        <v>0.14405940594059408</v>
      </c>
      <c r="E63" s="4">
        <f t="shared" si="2"/>
        <v>16.968000000000004</v>
      </c>
      <c r="F63" s="4">
        <f t="shared" si="3"/>
        <v>5.6560000000000015</v>
      </c>
    </row>
    <row r="64" spans="1:6" x14ac:dyDescent="0.35">
      <c r="A64" s="2">
        <v>1934</v>
      </c>
      <c r="B64" s="3">
        <v>60.8</v>
      </c>
      <c r="C64" s="4">
        <v>13.03</v>
      </c>
      <c r="D64" s="6">
        <f t="shared" si="1"/>
        <v>0.2143092105263158</v>
      </c>
      <c r="E64" s="4">
        <f t="shared" si="2"/>
        <v>17.024000000000001</v>
      </c>
      <c r="F64" s="4">
        <f t="shared" si="3"/>
        <v>5.674666666666667</v>
      </c>
    </row>
    <row r="65" spans="1:6" x14ac:dyDescent="0.35">
      <c r="A65" s="2">
        <v>1935</v>
      </c>
      <c r="B65" s="3">
        <v>61</v>
      </c>
      <c r="C65" s="4">
        <v>11.5</v>
      </c>
      <c r="D65" s="6">
        <f t="shared" si="1"/>
        <v>0.18852459016393441</v>
      </c>
      <c r="E65" s="4">
        <f t="shared" si="2"/>
        <v>17.080000000000002</v>
      </c>
      <c r="F65" s="4">
        <f t="shared" si="3"/>
        <v>5.6933333333333342</v>
      </c>
    </row>
    <row r="66" spans="1:6" x14ac:dyDescent="0.35">
      <c r="A66" s="2">
        <v>1936</v>
      </c>
      <c r="B66" s="3">
        <v>61.4</v>
      </c>
      <c r="C66" s="4">
        <v>17.09</v>
      </c>
      <c r="D66" s="6">
        <f t="shared" si="1"/>
        <v>0.27833876221498371</v>
      </c>
      <c r="E66" s="4">
        <f t="shared" si="2"/>
        <v>17.192</v>
      </c>
      <c r="F66" s="4">
        <f t="shared" si="3"/>
        <v>5.730666666666667</v>
      </c>
    </row>
    <row r="67" spans="1:6" x14ac:dyDescent="0.35">
      <c r="A67" s="2">
        <v>1937</v>
      </c>
      <c r="B67" s="3">
        <v>61.8</v>
      </c>
      <c r="C67" s="4">
        <v>21.62</v>
      </c>
      <c r="D67" s="6">
        <f t="shared" ref="D67:D130" si="4">C67/B67</f>
        <v>0.34983818770226538</v>
      </c>
      <c r="E67" s="4">
        <f t="shared" ref="E67:E130" si="5">B67*0.28</f>
        <v>17.304000000000002</v>
      </c>
      <c r="F67" s="4">
        <f t="shared" si="3"/>
        <v>5.7680000000000007</v>
      </c>
    </row>
    <row r="68" spans="1:6" x14ac:dyDescent="0.35">
      <c r="A68" s="2">
        <v>1938</v>
      </c>
      <c r="B68" s="3">
        <v>62.2</v>
      </c>
      <c r="C68" s="4">
        <v>13.51</v>
      </c>
      <c r="D68" s="6">
        <f t="shared" si="4"/>
        <v>0.21720257234726686</v>
      </c>
      <c r="E68" s="4">
        <f t="shared" si="5"/>
        <v>17.416000000000004</v>
      </c>
      <c r="F68" s="4">
        <f t="shared" si="3"/>
        <v>5.8053333333333343</v>
      </c>
    </row>
    <row r="69" spans="1:6" x14ac:dyDescent="0.35">
      <c r="A69" s="2">
        <v>1939</v>
      </c>
      <c r="B69" s="3">
        <v>62.6</v>
      </c>
      <c r="C69" s="4">
        <v>15.6</v>
      </c>
      <c r="D69" s="6">
        <f t="shared" si="4"/>
        <v>0.24920127795527156</v>
      </c>
      <c r="E69" s="4">
        <f t="shared" si="5"/>
        <v>17.528000000000002</v>
      </c>
      <c r="F69" s="4">
        <f t="shared" si="3"/>
        <v>5.8426666666666671</v>
      </c>
    </row>
    <row r="70" spans="1:6" x14ac:dyDescent="0.35">
      <c r="A70" s="2">
        <v>1940</v>
      </c>
      <c r="B70" s="3">
        <v>63</v>
      </c>
      <c r="C70" s="4">
        <v>16.38</v>
      </c>
      <c r="D70" s="6">
        <f t="shared" si="4"/>
        <v>0.26</v>
      </c>
      <c r="E70" s="4">
        <f t="shared" si="5"/>
        <v>17.64</v>
      </c>
      <c r="F70" s="4">
        <f t="shared" si="3"/>
        <v>5.88</v>
      </c>
    </row>
    <row r="71" spans="1:6" x14ac:dyDescent="0.35">
      <c r="A71" s="2">
        <v>1941</v>
      </c>
      <c r="B71" s="3">
        <v>62.3</v>
      </c>
      <c r="C71" s="4">
        <v>13.9</v>
      </c>
      <c r="D71" s="6">
        <f t="shared" si="4"/>
        <v>0.2231139646869984</v>
      </c>
      <c r="E71" s="4">
        <f t="shared" si="5"/>
        <v>17.444000000000003</v>
      </c>
      <c r="F71" s="4">
        <f t="shared" si="3"/>
        <v>5.8146666666666675</v>
      </c>
    </row>
    <row r="72" spans="1:6" x14ac:dyDescent="0.35">
      <c r="A72" s="2">
        <v>1942</v>
      </c>
      <c r="B72" s="3">
        <v>61.7</v>
      </c>
      <c r="C72" s="4">
        <v>10.1</v>
      </c>
      <c r="D72" s="6">
        <f t="shared" si="4"/>
        <v>0.16369529983792544</v>
      </c>
      <c r="E72" s="4">
        <f t="shared" si="5"/>
        <v>17.276000000000003</v>
      </c>
      <c r="F72" s="4">
        <f t="shared" ref="F72:F135" si="6">E72/3</f>
        <v>5.7586666666666675</v>
      </c>
    </row>
    <row r="73" spans="1:6" x14ac:dyDescent="0.35">
      <c r="A73" s="2">
        <v>1943</v>
      </c>
      <c r="B73" s="3">
        <v>61</v>
      </c>
      <c r="C73" s="4">
        <v>10.15</v>
      </c>
      <c r="D73" s="6">
        <f t="shared" si="4"/>
        <v>0.16639344262295083</v>
      </c>
      <c r="E73" s="4">
        <f t="shared" si="5"/>
        <v>17.080000000000002</v>
      </c>
      <c r="F73" s="4">
        <f t="shared" si="6"/>
        <v>5.6933333333333342</v>
      </c>
    </row>
    <row r="74" spans="1:6" x14ac:dyDescent="0.35">
      <c r="A74" s="2">
        <v>1944</v>
      </c>
      <c r="B74" s="3">
        <v>61.5</v>
      </c>
      <c r="C74" s="4">
        <v>11.05</v>
      </c>
      <c r="D74" s="6">
        <f t="shared" si="4"/>
        <v>0.17967479674796749</v>
      </c>
      <c r="E74" s="4">
        <f t="shared" si="5"/>
        <v>17.220000000000002</v>
      </c>
      <c r="F74" s="4">
        <f t="shared" si="6"/>
        <v>5.7400000000000011</v>
      </c>
    </row>
    <row r="75" spans="1:6" x14ac:dyDescent="0.35">
      <c r="A75" s="2">
        <v>1945</v>
      </c>
      <c r="B75" s="3">
        <v>62</v>
      </c>
      <c r="C75" s="4">
        <v>11.96</v>
      </c>
      <c r="D75" s="6">
        <f t="shared" si="4"/>
        <v>0.19290322580645164</v>
      </c>
      <c r="E75" s="4">
        <f t="shared" si="5"/>
        <v>17.360000000000003</v>
      </c>
      <c r="F75" s="4">
        <f t="shared" si="6"/>
        <v>5.786666666666668</v>
      </c>
    </row>
    <row r="76" spans="1:6" x14ac:dyDescent="0.35">
      <c r="A76" s="2">
        <v>1946</v>
      </c>
      <c r="B76" s="3">
        <v>62.8</v>
      </c>
      <c r="C76" s="4">
        <v>15.62</v>
      </c>
      <c r="D76" s="6">
        <f t="shared" si="4"/>
        <v>0.24872611464968153</v>
      </c>
      <c r="E76" s="4">
        <f t="shared" si="5"/>
        <v>17.584</v>
      </c>
      <c r="F76" s="4">
        <f t="shared" si="6"/>
        <v>5.8613333333333335</v>
      </c>
    </row>
    <row r="77" spans="1:6" x14ac:dyDescent="0.35">
      <c r="A77" s="2">
        <v>1947</v>
      </c>
      <c r="B77" s="3">
        <v>63.6</v>
      </c>
      <c r="C77" s="4">
        <v>11.47</v>
      </c>
      <c r="D77" s="6">
        <f t="shared" si="4"/>
        <v>0.18034591194968555</v>
      </c>
      <c r="E77" s="4">
        <f t="shared" si="5"/>
        <v>17.808000000000003</v>
      </c>
      <c r="F77" s="4">
        <f t="shared" si="6"/>
        <v>5.9360000000000008</v>
      </c>
    </row>
    <row r="78" spans="1:6" x14ac:dyDescent="0.35">
      <c r="A78" s="2">
        <v>1948</v>
      </c>
      <c r="B78" s="3">
        <v>64.400000000000006</v>
      </c>
      <c r="C78" s="4">
        <v>10.42</v>
      </c>
      <c r="D78" s="6">
        <f t="shared" si="4"/>
        <v>0.16180124223602482</v>
      </c>
      <c r="E78" s="4">
        <f t="shared" si="5"/>
        <v>18.032000000000004</v>
      </c>
      <c r="F78" s="4">
        <f t="shared" si="6"/>
        <v>6.0106666666666682</v>
      </c>
    </row>
    <row r="79" spans="1:6" x14ac:dyDescent="0.35">
      <c r="A79" s="2">
        <v>1949</v>
      </c>
      <c r="B79" s="3">
        <v>65.2</v>
      </c>
      <c r="C79" s="4">
        <v>10.25</v>
      </c>
      <c r="D79" s="6">
        <f t="shared" si="4"/>
        <v>0.1572085889570552</v>
      </c>
      <c r="E79" s="4">
        <f t="shared" si="5"/>
        <v>18.256000000000004</v>
      </c>
      <c r="F79" s="4">
        <f t="shared" si="6"/>
        <v>6.0853333333333346</v>
      </c>
    </row>
    <row r="80" spans="1:6" x14ac:dyDescent="0.35">
      <c r="A80" s="2">
        <v>1950</v>
      </c>
      <c r="B80" s="3">
        <v>66</v>
      </c>
      <c r="C80" s="4">
        <v>10.75</v>
      </c>
      <c r="D80" s="6">
        <f t="shared" si="4"/>
        <v>0.16287878787878787</v>
      </c>
      <c r="E80" s="4">
        <f t="shared" si="5"/>
        <v>18.48</v>
      </c>
      <c r="F80" s="4">
        <f t="shared" si="6"/>
        <v>6.16</v>
      </c>
    </row>
    <row r="81" spans="1:6" x14ac:dyDescent="0.35">
      <c r="A81" s="2">
        <v>1951</v>
      </c>
      <c r="B81" s="3">
        <v>66.400000000000006</v>
      </c>
      <c r="C81" s="4">
        <v>11.9</v>
      </c>
      <c r="D81" s="6">
        <f t="shared" si="4"/>
        <v>0.1792168674698795</v>
      </c>
      <c r="E81" s="4">
        <f t="shared" si="5"/>
        <v>18.592000000000002</v>
      </c>
      <c r="F81" s="4">
        <f t="shared" si="6"/>
        <v>6.1973333333333338</v>
      </c>
    </row>
    <row r="82" spans="1:6" x14ac:dyDescent="0.35">
      <c r="A82" s="2">
        <v>1952</v>
      </c>
      <c r="B82" s="3">
        <v>66.8</v>
      </c>
      <c r="C82" s="4">
        <v>12.53</v>
      </c>
      <c r="D82" s="6">
        <f t="shared" si="4"/>
        <v>0.18757485029940119</v>
      </c>
      <c r="E82" s="4">
        <f t="shared" si="5"/>
        <v>18.704000000000001</v>
      </c>
      <c r="F82" s="4">
        <f t="shared" si="6"/>
        <v>6.2346666666666666</v>
      </c>
    </row>
    <row r="83" spans="1:6" x14ac:dyDescent="0.35">
      <c r="A83" s="2">
        <v>1953</v>
      </c>
      <c r="B83" s="3">
        <v>67.2</v>
      </c>
      <c r="C83" s="4">
        <v>13.01</v>
      </c>
      <c r="D83" s="6">
        <f t="shared" si="4"/>
        <v>0.19360119047619045</v>
      </c>
      <c r="E83" s="4">
        <f t="shared" si="5"/>
        <v>18.816000000000003</v>
      </c>
      <c r="F83" s="4">
        <f t="shared" si="6"/>
        <v>6.2720000000000011</v>
      </c>
    </row>
    <row r="84" spans="1:6" x14ac:dyDescent="0.35">
      <c r="A84" s="2">
        <v>1954</v>
      </c>
      <c r="B84" s="3">
        <v>67.599999999999994</v>
      </c>
      <c r="C84" s="4">
        <v>12</v>
      </c>
      <c r="D84" s="6">
        <f t="shared" si="4"/>
        <v>0.1775147928994083</v>
      </c>
      <c r="E84" s="4">
        <f t="shared" si="5"/>
        <v>18.928000000000001</v>
      </c>
      <c r="F84" s="4">
        <f t="shared" si="6"/>
        <v>6.3093333333333339</v>
      </c>
    </row>
    <row r="85" spans="1:6" x14ac:dyDescent="0.35">
      <c r="A85" s="2">
        <v>1955</v>
      </c>
      <c r="B85" s="3">
        <v>68</v>
      </c>
      <c r="C85" s="4">
        <v>15.99</v>
      </c>
      <c r="D85" s="6">
        <f t="shared" si="4"/>
        <v>0.2351470588235294</v>
      </c>
      <c r="E85" s="4">
        <f t="shared" si="5"/>
        <v>19.040000000000003</v>
      </c>
      <c r="F85" s="4">
        <f t="shared" si="6"/>
        <v>6.3466666666666676</v>
      </c>
    </row>
    <row r="86" spans="1:6" x14ac:dyDescent="0.35">
      <c r="A86" s="2">
        <v>1956</v>
      </c>
      <c r="B86" s="3">
        <v>68.400000000000006</v>
      </c>
      <c r="C86" s="4">
        <v>18.29</v>
      </c>
      <c r="D86" s="6">
        <f t="shared" si="4"/>
        <v>0.26739766081871341</v>
      </c>
      <c r="E86" s="4">
        <f t="shared" si="5"/>
        <v>19.152000000000005</v>
      </c>
      <c r="F86" s="4">
        <f t="shared" si="6"/>
        <v>6.3840000000000012</v>
      </c>
    </row>
    <row r="87" spans="1:6" x14ac:dyDescent="0.35">
      <c r="A87" s="2">
        <v>1957</v>
      </c>
      <c r="B87" s="3">
        <v>68.8</v>
      </c>
      <c r="C87" s="4">
        <v>16.72</v>
      </c>
      <c r="D87" s="6">
        <f t="shared" si="4"/>
        <v>0.24302325581395348</v>
      </c>
      <c r="E87" s="4">
        <f t="shared" si="5"/>
        <v>19.263999999999999</v>
      </c>
      <c r="F87" s="4">
        <f t="shared" si="6"/>
        <v>6.4213333333333331</v>
      </c>
    </row>
    <row r="88" spans="1:6" x14ac:dyDescent="0.35">
      <c r="A88" s="2">
        <v>1958</v>
      </c>
      <c r="B88" s="3">
        <v>69.2</v>
      </c>
      <c r="C88" s="4">
        <v>13.79</v>
      </c>
      <c r="D88" s="6">
        <f t="shared" si="4"/>
        <v>0.19927745664739882</v>
      </c>
      <c r="E88" s="4">
        <f t="shared" si="5"/>
        <v>19.376000000000001</v>
      </c>
      <c r="F88" s="4">
        <f t="shared" si="6"/>
        <v>6.4586666666666668</v>
      </c>
    </row>
    <row r="89" spans="1:6" x14ac:dyDescent="0.35">
      <c r="A89" s="2">
        <v>1959</v>
      </c>
      <c r="B89" s="3">
        <v>69.599999999999994</v>
      </c>
      <c r="C89" s="4">
        <v>17.98</v>
      </c>
      <c r="D89" s="6">
        <f t="shared" si="4"/>
        <v>0.25833333333333336</v>
      </c>
      <c r="E89" s="4">
        <f t="shared" si="5"/>
        <v>19.488</v>
      </c>
      <c r="F89" s="4">
        <f t="shared" si="6"/>
        <v>6.4959999999999996</v>
      </c>
    </row>
    <row r="90" spans="1:6" x14ac:dyDescent="0.35">
      <c r="A90" s="2">
        <v>1960</v>
      </c>
      <c r="B90" s="3">
        <v>70</v>
      </c>
      <c r="C90" s="4">
        <v>18.34</v>
      </c>
      <c r="D90" s="6">
        <f t="shared" si="4"/>
        <v>0.26200000000000001</v>
      </c>
      <c r="E90" s="4">
        <f t="shared" si="5"/>
        <v>19.600000000000001</v>
      </c>
      <c r="F90" s="4">
        <f t="shared" si="6"/>
        <v>6.5333333333333341</v>
      </c>
    </row>
    <row r="91" spans="1:6" x14ac:dyDescent="0.35">
      <c r="A91" s="2">
        <v>1961</v>
      </c>
      <c r="B91" s="3">
        <v>70.2</v>
      </c>
      <c r="C91" s="4">
        <v>18.47</v>
      </c>
      <c r="D91" s="6">
        <f t="shared" si="4"/>
        <v>0.26310541310541308</v>
      </c>
      <c r="E91" s="4">
        <f t="shared" si="5"/>
        <v>19.656000000000002</v>
      </c>
      <c r="F91" s="4">
        <f t="shared" si="6"/>
        <v>6.5520000000000005</v>
      </c>
    </row>
    <row r="92" spans="1:6" x14ac:dyDescent="0.35">
      <c r="A92" s="2">
        <v>1962</v>
      </c>
      <c r="B92" s="3">
        <v>70.400000000000006</v>
      </c>
      <c r="C92" s="4">
        <v>21.2</v>
      </c>
      <c r="D92" s="6">
        <f t="shared" si="4"/>
        <v>0.30113636363636359</v>
      </c>
      <c r="E92" s="4">
        <f t="shared" si="5"/>
        <v>19.712000000000003</v>
      </c>
      <c r="F92" s="4">
        <f t="shared" si="6"/>
        <v>6.5706666666666678</v>
      </c>
    </row>
    <row r="93" spans="1:6" x14ac:dyDescent="0.35">
      <c r="A93" s="2">
        <v>1963</v>
      </c>
      <c r="B93" s="3">
        <v>70.599999999999994</v>
      </c>
      <c r="C93" s="4">
        <v>19.260000000000002</v>
      </c>
      <c r="D93" s="6">
        <f t="shared" si="4"/>
        <v>0.27280453257790371</v>
      </c>
      <c r="E93" s="4">
        <f t="shared" si="5"/>
        <v>19.768000000000001</v>
      </c>
      <c r="F93" s="4">
        <f t="shared" si="6"/>
        <v>6.5893333333333333</v>
      </c>
    </row>
    <row r="94" spans="1:6" x14ac:dyDescent="0.35">
      <c r="A94" s="2">
        <v>1964</v>
      </c>
      <c r="B94" s="3">
        <v>70.8</v>
      </c>
      <c r="C94" s="4">
        <v>21.63</v>
      </c>
      <c r="D94" s="6">
        <f t="shared" si="4"/>
        <v>0.30550847457627117</v>
      </c>
      <c r="E94" s="4">
        <f t="shared" si="5"/>
        <v>19.824000000000002</v>
      </c>
      <c r="F94" s="4">
        <f t="shared" si="6"/>
        <v>6.6080000000000005</v>
      </c>
    </row>
    <row r="95" spans="1:6" x14ac:dyDescent="0.35">
      <c r="A95" s="2">
        <v>1965</v>
      </c>
      <c r="B95" s="3">
        <v>71</v>
      </c>
      <c r="C95" s="4">
        <v>23.27</v>
      </c>
      <c r="D95" s="6">
        <f t="shared" si="4"/>
        <v>0.32774647887323943</v>
      </c>
      <c r="E95" s="4">
        <f t="shared" si="5"/>
        <v>19.880000000000003</v>
      </c>
      <c r="F95" s="4">
        <f t="shared" si="6"/>
        <v>6.6266666666666678</v>
      </c>
    </row>
    <row r="96" spans="1:6" x14ac:dyDescent="0.35">
      <c r="A96" s="2">
        <v>1966</v>
      </c>
      <c r="B96" s="3">
        <v>71.099999999999994</v>
      </c>
      <c r="C96" s="4">
        <v>24.06</v>
      </c>
      <c r="D96" s="6">
        <f t="shared" si="4"/>
        <v>0.33839662447257385</v>
      </c>
      <c r="E96" s="4">
        <f t="shared" si="5"/>
        <v>19.908000000000001</v>
      </c>
      <c r="F96" s="4">
        <f t="shared" si="6"/>
        <v>6.6360000000000001</v>
      </c>
    </row>
    <row r="97" spans="1:6" x14ac:dyDescent="0.35">
      <c r="A97" s="2">
        <v>1967</v>
      </c>
      <c r="B97" s="3">
        <v>71.2</v>
      </c>
      <c r="C97" s="4">
        <v>20.43</v>
      </c>
      <c r="D97" s="6">
        <f t="shared" si="4"/>
        <v>0.28693820224719102</v>
      </c>
      <c r="E97" s="4">
        <f t="shared" si="5"/>
        <v>19.936000000000003</v>
      </c>
      <c r="F97" s="4">
        <f t="shared" si="6"/>
        <v>6.6453333333333342</v>
      </c>
    </row>
    <row r="98" spans="1:6" x14ac:dyDescent="0.35">
      <c r="A98" s="2">
        <v>1968</v>
      </c>
      <c r="B98" s="3">
        <v>71.3</v>
      </c>
      <c r="C98" s="4">
        <v>21.51</v>
      </c>
      <c r="D98" s="6">
        <f t="shared" si="4"/>
        <v>0.30168302945301545</v>
      </c>
      <c r="E98" s="4">
        <f t="shared" si="5"/>
        <v>19.964000000000002</v>
      </c>
      <c r="F98" s="4">
        <f t="shared" si="6"/>
        <v>6.6546666666666674</v>
      </c>
    </row>
    <row r="99" spans="1:6" x14ac:dyDescent="0.35">
      <c r="A99" s="2">
        <v>1969</v>
      </c>
      <c r="B99" s="3">
        <v>71.400000000000006</v>
      </c>
      <c r="C99" s="4">
        <v>21.19</v>
      </c>
      <c r="D99" s="6">
        <f t="shared" si="4"/>
        <v>0.29677871148459384</v>
      </c>
      <c r="E99" s="4">
        <f t="shared" si="5"/>
        <v>19.992000000000004</v>
      </c>
      <c r="F99" s="4">
        <f t="shared" si="6"/>
        <v>6.6640000000000015</v>
      </c>
    </row>
    <row r="100" spans="1:6" x14ac:dyDescent="0.35">
      <c r="A100" s="2">
        <v>1970</v>
      </c>
      <c r="B100" s="3">
        <v>71.5</v>
      </c>
      <c r="C100" s="4">
        <v>17.09</v>
      </c>
      <c r="D100" s="6">
        <f t="shared" si="4"/>
        <v>0.23902097902097902</v>
      </c>
      <c r="E100" s="4">
        <f t="shared" si="5"/>
        <v>20.020000000000003</v>
      </c>
      <c r="F100" s="4">
        <f t="shared" si="6"/>
        <v>6.6733333333333347</v>
      </c>
    </row>
    <row r="101" spans="1:6" x14ac:dyDescent="0.35">
      <c r="A101" s="2">
        <v>1971</v>
      </c>
      <c r="B101" s="3">
        <v>71.7</v>
      </c>
      <c r="C101" s="4">
        <v>16.46</v>
      </c>
      <c r="D101" s="6">
        <f t="shared" si="4"/>
        <v>0.2295676429567643</v>
      </c>
      <c r="E101" s="4">
        <f t="shared" si="5"/>
        <v>20.076000000000004</v>
      </c>
      <c r="F101" s="4">
        <f t="shared" si="6"/>
        <v>6.6920000000000011</v>
      </c>
    </row>
    <row r="102" spans="1:6" x14ac:dyDescent="0.35">
      <c r="A102" s="2">
        <v>1972</v>
      </c>
      <c r="B102" s="3">
        <v>71.900000000000006</v>
      </c>
      <c r="C102" s="4">
        <v>17.260000000000002</v>
      </c>
      <c r="D102" s="6">
        <f t="shared" si="4"/>
        <v>0.24005563282336578</v>
      </c>
      <c r="E102" s="4">
        <f t="shared" si="5"/>
        <v>20.132000000000005</v>
      </c>
      <c r="F102" s="4">
        <f t="shared" si="6"/>
        <v>6.7106666666666683</v>
      </c>
    </row>
    <row r="103" spans="1:6" x14ac:dyDescent="0.35">
      <c r="A103" s="2">
        <v>1973</v>
      </c>
      <c r="B103" s="3">
        <v>72.099999999999994</v>
      </c>
      <c r="C103" s="4">
        <v>18.71</v>
      </c>
      <c r="D103" s="6">
        <f t="shared" si="4"/>
        <v>0.25950069348127602</v>
      </c>
      <c r="E103" s="4">
        <f t="shared" si="5"/>
        <v>20.187999999999999</v>
      </c>
      <c r="F103" s="4">
        <f t="shared" si="6"/>
        <v>6.7293333333333329</v>
      </c>
    </row>
    <row r="104" spans="1:6" x14ac:dyDescent="0.35">
      <c r="A104" s="2">
        <v>1974</v>
      </c>
      <c r="B104" s="3">
        <v>72.3</v>
      </c>
      <c r="C104" s="4">
        <v>13.53</v>
      </c>
      <c r="D104" s="6">
        <f t="shared" si="4"/>
        <v>0.18713692946058091</v>
      </c>
      <c r="E104" s="4">
        <f t="shared" si="5"/>
        <v>20.244</v>
      </c>
      <c r="F104" s="4">
        <f t="shared" si="6"/>
        <v>6.7480000000000002</v>
      </c>
    </row>
    <row r="105" spans="1:6" x14ac:dyDescent="0.35">
      <c r="A105" s="2">
        <v>1975</v>
      </c>
      <c r="B105" s="3">
        <v>72.5</v>
      </c>
      <c r="C105" s="4">
        <v>8.92</v>
      </c>
      <c r="D105" s="6">
        <f t="shared" si="4"/>
        <v>0.12303448275862069</v>
      </c>
      <c r="E105" s="4">
        <f t="shared" si="5"/>
        <v>20.3</v>
      </c>
      <c r="F105" s="4">
        <f t="shared" si="6"/>
        <v>6.7666666666666666</v>
      </c>
    </row>
    <row r="106" spans="1:6" x14ac:dyDescent="0.35">
      <c r="A106" s="2">
        <v>1976</v>
      </c>
      <c r="B106" s="3">
        <v>72.8</v>
      </c>
      <c r="C106" s="4">
        <v>11.19</v>
      </c>
      <c r="D106" s="6">
        <f t="shared" si="4"/>
        <v>0.15370879120879122</v>
      </c>
      <c r="E106" s="4">
        <f t="shared" si="5"/>
        <v>20.384</v>
      </c>
      <c r="F106" s="4">
        <f t="shared" si="6"/>
        <v>6.7946666666666671</v>
      </c>
    </row>
    <row r="107" spans="1:6" x14ac:dyDescent="0.35">
      <c r="A107" s="2">
        <v>1977</v>
      </c>
      <c r="B107" s="3">
        <v>73.099999999999994</v>
      </c>
      <c r="C107" s="4">
        <v>11.44</v>
      </c>
      <c r="D107" s="6">
        <f t="shared" si="4"/>
        <v>0.15649794801641587</v>
      </c>
      <c r="E107" s="4">
        <f t="shared" si="5"/>
        <v>20.468</v>
      </c>
      <c r="F107" s="4">
        <f t="shared" si="6"/>
        <v>6.8226666666666667</v>
      </c>
    </row>
    <row r="108" spans="1:6" x14ac:dyDescent="0.35">
      <c r="A108" s="2">
        <v>1978</v>
      </c>
      <c r="B108" s="3">
        <v>73.400000000000006</v>
      </c>
      <c r="C108" s="4">
        <v>9.24</v>
      </c>
      <c r="D108" s="6">
        <f t="shared" si="4"/>
        <v>0.12588555858310627</v>
      </c>
      <c r="E108" s="4">
        <f t="shared" si="5"/>
        <v>20.552000000000003</v>
      </c>
      <c r="F108" s="4">
        <f t="shared" si="6"/>
        <v>6.850666666666668</v>
      </c>
    </row>
    <row r="109" spans="1:6" x14ac:dyDescent="0.35">
      <c r="A109" s="2">
        <v>1979</v>
      </c>
      <c r="B109" s="3">
        <v>73.7</v>
      </c>
      <c r="C109" s="4">
        <v>9.26</v>
      </c>
      <c r="D109" s="6">
        <f t="shared" si="4"/>
        <v>0.12564450474898237</v>
      </c>
      <c r="E109" s="4">
        <f t="shared" si="5"/>
        <v>20.636000000000003</v>
      </c>
      <c r="F109" s="4">
        <f t="shared" si="6"/>
        <v>6.8786666666666676</v>
      </c>
    </row>
    <row r="110" spans="1:6" x14ac:dyDescent="0.35">
      <c r="A110" s="2">
        <v>1980</v>
      </c>
      <c r="B110" s="3">
        <v>74</v>
      </c>
      <c r="C110" s="4">
        <v>8.85</v>
      </c>
      <c r="D110" s="6">
        <f t="shared" si="4"/>
        <v>0.11959459459459459</v>
      </c>
      <c r="E110" s="4">
        <f t="shared" si="5"/>
        <v>20.720000000000002</v>
      </c>
      <c r="F110" s="4">
        <f t="shared" si="6"/>
        <v>6.9066666666666672</v>
      </c>
    </row>
    <row r="111" spans="1:6" x14ac:dyDescent="0.35">
      <c r="A111" s="2">
        <v>1981</v>
      </c>
      <c r="B111" s="3">
        <v>74.2</v>
      </c>
      <c r="C111" s="4">
        <v>9.26</v>
      </c>
      <c r="D111" s="6">
        <f t="shared" si="4"/>
        <v>0.12479784366576818</v>
      </c>
      <c r="E111" s="4">
        <f t="shared" si="5"/>
        <v>20.776000000000003</v>
      </c>
      <c r="F111" s="4">
        <f t="shared" si="6"/>
        <v>6.9253333333333345</v>
      </c>
    </row>
    <row r="112" spans="1:6" x14ac:dyDescent="0.35">
      <c r="A112" s="2">
        <v>1982</v>
      </c>
      <c r="B112" s="3">
        <v>74.400000000000006</v>
      </c>
      <c r="C112" s="4">
        <v>7.39</v>
      </c>
      <c r="D112" s="6">
        <f t="shared" si="4"/>
        <v>9.9327956989247304E-2</v>
      </c>
      <c r="E112" s="4">
        <f t="shared" si="5"/>
        <v>20.832000000000004</v>
      </c>
      <c r="F112" s="4">
        <f t="shared" si="6"/>
        <v>6.9440000000000017</v>
      </c>
    </row>
    <row r="113" spans="1:6" x14ac:dyDescent="0.35">
      <c r="A113" s="2">
        <v>1983</v>
      </c>
      <c r="B113" s="3">
        <v>74.599999999999994</v>
      </c>
      <c r="C113" s="4">
        <v>8.76</v>
      </c>
      <c r="D113" s="6">
        <f t="shared" si="4"/>
        <v>0.11742627345844504</v>
      </c>
      <c r="E113" s="4">
        <f t="shared" si="5"/>
        <v>20.888000000000002</v>
      </c>
      <c r="F113" s="4">
        <f t="shared" si="6"/>
        <v>6.9626666666666672</v>
      </c>
    </row>
    <row r="114" spans="1:6" x14ac:dyDescent="0.35">
      <c r="A114" s="2">
        <v>1984</v>
      </c>
      <c r="B114" s="3">
        <v>74.8</v>
      </c>
      <c r="C114" s="4">
        <v>9.89</v>
      </c>
      <c r="D114" s="6">
        <f t="shared" si="4"/>
        <v>0.13221925133689841</v>
      </c>
      <c r="E114" s="4">
        <f t="shared" si="5"/>
        <v>20.944000000000003</v>
      </c>
      <c r="F114" s="4">
        <f t="shared" si="6"/>
        <v>6.9813333333333345</v>
      </c>
    </row>
    <row r="115" spans="1:6" x14ac:dyDescent="0.35">
      <c r="A115" s="2">
        <v>1985</v>
      </c>
      <c r="B115" s="3">
        <v>75</v>
      </c>
      <c r="C115" s="4">
        <v>10</v>
      </c>
      <c r="D115" s="6">
        <f t="shared" si="4"/>
        <v>0.13333333333333333</v>
      </c>
      <c r="E115" s="4">
        <f t="shared" si="5"/>
        <v>21.000000000000004</v>
      </c>
      <c r="F115" s="4">
        <f t="shared" si="6"/>
        <v>7.0000000000000009</v>
      </c>
    </row>
    <row r="116" spans="1:6" x14ac:dyDescent="0.35">
      <c r="A116" s="2">
        <v>1986</v>
      </c>
      <c r="B116" s="3">
        <v>75.2</v>
      </c>
      <c r="C116" s="4">
        <v>11.72</v>
      </c>
      <c r="D116" s="6">
        <f t="shared" si="4"/>
        <v>0.15585106382978722</v>
      </c>
      <c r="E116" s="4">
        <f t="shared" si="5"/>
        <v>21.056000000000004</v>
      </c>
      <c r="F116" s="4">
        <f t="shared" si="6"/>
        <v>7.0186666666666682</v>
      </c>
    </row>
    <row r="117" spans="1:6" x14ac:dyDescent="0.35">
      <c r="A117" s="2">
        <v>1987</v>
      </c>
      <c r="B117" s="3">
        <v>75.400000000000006</v>
      </c>
      <c r="C117" s="4">
        <v>14.92</v>
      </c>
      <c r="D117" s="6">
        <f t="shared" si="4"/>
        <v>0.19787798408488061</v>
      </c>
      <c r="E117" s="4">
        <f t="shared" si="5"/>
        <v>21.112000000000002</v>
      </c>
      <c r="F117" s="4">
        <f t="shared" si="6"/>
        <v>7.0373333333333337</v>
      </c>
    </row>
    <row r="118" spans="1:6" x14ac:dyDescent="0.35">
      <c r="A118" s="2">
        <v>1988</v>
      </c>
      <c r="B118" s="3">
        <v>75.599999999999994</v>
      </c>
      <c r="C118" s="4">
        <v>13.9</v>
      </c>
      <c r="D118" s="6">
        <f t="shared" si="4"/>
        <v>0.18386243386243389</v>
      </c>
      <c r="E118" s="4">
        <f t="shared" si="5"/>
        <v>21.167999999999999</v>
      </c>
      <c r="F118" s="4">
        <f t="shared" si="6"/>
        <v>7.056</v>
      </c>
    </row>
    <row r="119" spans="1:6" x14ac:dyDescent="0.35">
      <c r="A119" s="2">
        <v>1989</v>
      </c>
      <c r="B119" s="3">
        <v>75.8</v>
      </c>
      <c r="C119" s="4">
        <v>15.09</v>
      </c>
      <c r="D119" s="6">
        <f t="shared" si="4"/>
        <v>0.19907651715039579</v>
      </c>
      <c r="E119" s="4">
        <f t="shared" si="5"/>
        <v>21.224</v>
      </c>
      <c r="F119" s="4">
        <f t="shared" si="6"/>
        <v>7.0746666666666664</v>
      </c>
    </row>
    <row r="120" spans="1:6" x14ac:dyDescent="0.35">
      <c r="A120" s="2">
        <v>1990</v>
      </c>
      <c r="B120" s="3">
        <v>76</v>
      </c>
      <c r="C120" s="4">
        <v>17.05</v>
      </c>
      <c r="D120" s="6">
        <f t="shared" si="4"/>
        <v>0.2243421052631579</v>
      </c>
      <c r="E120" s="4">
        <f t="shared" si="5"/>
        <v>21.28</v>
      </c>
      <c r="F120" s="4">
        <f t="shared" si="6"/>
        <v>7.0933333333333337</v>
      </c>
    </row>
    <row r="121" spans="1:6" x14ac:dyDescent="0.35">
      <c r="A121" s="2">
        <v>1991</v>
      </c>
      <c r="B121" s="3">
        <v>76.2</v>
      </c>
      <c r="C121" s="4">
        <v>15.61</v>
      </c>
      <c r="D121" s="6">
        <f t="shared" si="4"/>
        <v>0.2048556430446194</v>
      </c>
      <c r="E121" s="4">
        <f t="shared" si="5"/>
        <v>21.336000000000002</v>
      </c>
      <c r="F121" s="4">
        <f t="shared" si="6"/>
        <v>7.112000000000001</v>
      </c>
    </row>
    <row r="122" spans="1:6" x14ac:dyDescent="0.35">
      <c r="A122" s="2">
        <v>1992</v>
      </c>
      <c r="B122" s="3">
        <v>76.400000000000006</v>
      </c>
      <c r="C122" s="4">
        <v>19.77</v>
      </c>
      <c r="D122" s="6">
        <f t="shared" si="4"/>
        <v>0.25876963350785337</v>
      </c>
      <c r="E122" s="4">
        <f t="shared" si="5"/>
        <v>21.392000000000003</v>
      </c>
      <c r="F122" s="4">
        <f t="shared" si="6"/>
        <v>7.1306666666666674</v>
      </c>
    </row>
    <row r="123" spans="1:6" x14ac:dyDescent="0.35">
      <c r="A123" s="2">
        <v>1993</v>
      </c>
      <c r="B123" s="3">
        <v>76.599999999999994</v>
      </c>
      <c r="C123" s="4">
        <v>20.32</v>
      </c>
      <c r="D123" s="6">
        <f t="shared" si="4"/>
        <v>0.26527415143603134</v>
      </c>
      <c r="E123" s="4">
        <f t="shared" si="5"/>
        <v>21.448</v>
      </c>
      <c r="F123" s="4">
        <f t="shared" si="6"/>
        <v>7.1493333333333338</v>
      </c>
    </row>
    <row r="124" spans="1:6" x14ac:dyDescent="0.35">
      <c r="A124" s="2">
        <v>1994</v>
      </c>
      <c r="B124" s="3">
        <v>76.8</v>
      </c>
      <c r="C124" s="4">
        <v>21.41</v>
      </c>
      <c r="D124" s="6">
        <f t="shared" si="4"/>
        <v>0.2787760416666667</v>
      </c>
      <c r="E124" s="4">
        <f t="shared" si="5"/>
        <v>21.504000000000001</v>
      </c>
      <c r="F124" s="4">
        <f t="shared" si="6"/>
        <v>7.1680000000000001</v>
      </c>
    </row>
    <row r="125" spans="1:6" x14ac:dyDescent="0.35">
      <c r="A125" s="2">
        <v>1995</v>
      </c>
      <c r="B125" s="3">
        <v>77</v>
      </c>
      <c r="C125" s="4">
        <v>20.22</v>
      </c>
      <c r="D125" s="6">
        <f t="shared" si="4"/>
        <v>0.26259740259740261</v>
      </c>
      <c r="E125" s="4">
        <f t="shared" si="5"/>
        <v>21.560000000000002</v>
      </c>
      <c r="F125" s="4">
        <f t="shared" si="6"/>
        <v>7.1866666666666674</v>
      </c>
    </row>
    <row r="126" spans="1:6" x14ac:dyDescent="0.35">
      <c r="A126" s="2">
        <v>1996</v>
      </c>
      <c r="B126" s="3">
        <v>77.2</v>
      </c>
      <c r="C126" s="4">
        <v>24.76</v>
      </c>
      <c r="D126" s="6">
        <f t="shared" si="4"/>
        <v>0.32072538860103628</v>
      </c>
      <c r="E126" s="4">
        <f t="shared" si="5"/>
        <v>21.616000000000003</v>
      </c>
      <c r="F126" s="4">
        <f t="shared" si="6"/>
        <v>7.2053333333333347</v>
      </c>
    </row>
    <row r="127" spans="1:6" x14ac:dyDescent="0.35">
      <c r="A127" s="2">
        <v>1997</v>
      </c>
      <c r="B127" s="3">
        <v>77.400000000000006</v>
      </c>
      <c r="C127" s="4">
        <v>28.33</v>
      </c>
      <c r="D127" s="6">
        <f t="shared" si="4"/>
        <v>0.36602067183462528</v>
      </c>
      <c r="E127" s="4">
        <f t="shared" si="5"/>
        <v>21.672000000000004</v>
      </c>
      <c r="F127" s="4">
        <f t="shared" si="6"/>
        <v>7.2240000000000011</v>
      </c>
    </row>
    <row r="128" spans="1:6" x14ac:dyDescent="0.35">
      <c r="A128" s="2">
        <v>1998</v>
      </c>
      <c r="B128" s="3">
        <v>77.599999999999994</v>
      </c>
      <c r="C128" s="4">
        <v>32.86</v>
      </c>
      <c r="D128" s="6">
        <f t="shared" si="4"/>
        <v>0.42345360824742273</v>
      </c>
      <c r="E128" s="4">
        <f t="shared" si="5"/>
        <v>21.728000000000002</v>
      </c>
      <c r="F128" s="4">
        <f t="shared" si="6"/>
        <v>7.2426666666666675</v>
      </c>
    </row>
    <row r="129" spans="1:6" x14ac:dyDescent="0.35">
      <c r="A129" s="2">
        <v>1999</v>
      </c>
      <c r="B129" s="3">
        <v>77.8</v>
      </c>
      <c r="C129" s="4">
        <v>40.57</v>
      </c>
      <c r="D129" s="6">
        <f t="shared" si="4"/>
        <v>0.52146529562982002</v>
      </c>
      <c r="E129" s="4">
        <f t="shared" si="5"/>
        <v>21.784000000000002</v>
      </c>
      <c r="F129" s="4">
        <f t="shared" si="6"/>
        <v>7.2613333333333339</v>
      </c>
    </row>
    <row r="130" spans="1:6" x14ac:dyDescent="0.35">
      <c r="A130" s="2">
        <v>2000</v>
      </c>
      <c r="B130" s="3">
        <v>78</v>
      </c>
      <c r="C130" s="4">
        <v>43.77</v>
      </c>
      <c r="D130" s="6">
        <f t="shared" si="4"/>
        <v>0.56115384615384623</v>
      </c>
      <c r="E130" s="4">
        <f t="shared" si="5"/>
        <v>21.840000000000003</v>
      </c>
      <c r="F130" s="4">
        <f t="shared" si="6"/>
        <v>7.2800000000000011</v>
      </c>
    </row>
    <row r="131" spans="1:6" x14ac:dyDescent="0.35">
      <c r="A131" s="2">
        <v>2001</v>
      </c>
      <c r="B131" s="3">
        <v>78.2</v>
      </c>
      <c r="C131" s="4">
        <v>36.979999999999997</v>
      </c>
      <c r="D131" s="6">
        <f t="shared" ref="D131:D155" si="7">C131/B131</f>
        <v>0.47289002557544751</v>
      </c>
      <c r="E131" s="4">
        <f t="shared" ref="E131:E156" si="8">B131*0.28</f>
        <v>21.896000000000004</v>
      </c>
      <c r="F131" s="4">
        <f t="shared" si="6"/>
        <v>7.2986666666666684</v>
      </c>
    </row>
    <row r="132" spans="1:6" x14ac:dyDescent="0.35">
      <c r="A132" s="2">
        <v>2002</v>
      </c>
      <c r="B132" s="3">
        <v>78.400000000000006</v>
      </c>
      <c r="C132" s="4">
        <v>30.28</v>
      </c>
      <c r="D132" s="6">
        <f t="shared" si="7"/>
        <v>0.38622448979591834</v>
      </c>
      <c r="E132" s="4">
        <f t="shared" si="8"/>
        <v>21.952000000000005</v>
      </c>
      <c r="F132" s="4">
        <f t="shared" si="6"/>
        <v>7.3173333333333348</v>
      </c>
    </row>
    <row r="133" spans="1:6" x14ac:dyDescent="0.35">
      <c r="A133" s="2">
        <v>2003</v>
      </c>
      <c r="B133" s="3">
        <v>78.599999999999994</v>
      </c>
      <c r="C133" s="4">
        <v>22.9</v>
      </c>
      <c r="D133" s="6">
        <f t="shared" si="7"/>
        <v>0.29134860050890588</v>
      </c>
      <c r="E133" s="4">
        <f t="shared" si="8"/>
        <v>22.007999999999999</v>
      </c>
      <c r="F133" s="4">
        <f t="shared" si="6"/>
        <v>7.3359999999999994</v>
      </c>
    </row>
    <row r="134" spans="1:6" x14ac:dyDescent="0.35">
      <c r="A134" s="2">
        <v>2004</v>
      </c>
      <c r="B134" s="3">
        <v>78.8</v>
      </c>
      <c r="C134" s="4">
        <v>27.66</v>
      </c>
      <c r="D134" s="6">
        <f t="shared" si="7"/>
        <v>0.35101522842639593</v>
      </c>
      <c r="E134" s="4">
        <f t="shared" si="8"/>
        <v>22.064</v>
      </c>
      <c r="F134" s="4">
        <f t="shared" si="6"/>
        <v>7.3546666666666667</v>
      </c>
    </row>
    <row r="135" spans="1:6" x14ac:dyDescent="0.35">
      <c r="A135" s="2">
        <v>2005</v>
      </c>
      <c r="B135" s="3">
        <v>79</v>
      </c>
      <c r="C135" s="4">
        <v>26.59</v>
      </c>
      <c r="D135" s="6">
        <f t="shared" si="7"/>
        <v>0.33658227848101263</v>
      </c>
      <c r="E135" s="4">
        <f t="shared" si="8"/>
        <v>22.12</v>
      </c>
      <c r="F135" s="4">
        <f t="shared" si="6"/>
        <v>7.373333333333334</v>
      </c>
    </row>
    <row r="136" spans="1:6" x14ac:dyDescent="0.35">
      <c r="A136" s="2">
        <v>2006</v>
      </c>
      <c r="B136" s="3">
        <v>79.2</v>
      </c>
      <c r="C136" s="4">
        <v>26.47</v>
      </c>
      <c r="D136" s="6">
        <f t="shared" si="7"/>
        <v>0.33421717171717169</v>
      </c>
      <c r="E136" s="4">
        <f t="shared" si="8"/>
        <v>22.176000000000002</v>
      </c>
      <c r="F136" s="4">
        <f t="shared" ref="F136:F156" si="9">E136/3</f>
        <v>7.3920000000000003</v>
      </c>
    </row>
    <row r="137" spans="1:6" x14ac:dyDescent="0.35">
      <c r="A137" s="2">
        <v>2007</v>
      </c>
      <c r="B137" s="3">
        <v>79.400000000000006</v>
      </c>
      <c r="C137" s="4">
        <v>27.21</v>
      </c>
      <c r="D137" s="6">
        <f t="shared" si="7"/>
        <v>0.34269521410579346</v>
      </c>
      <c r="E137" s="4">
        <f t="shared" si="8"/>
        <v>22.232000000000003</v>
      </c>
      <c r="F137" s="4">
        <f t="shared" si="9"/>
        <v>7.4106666666666676</v>
      </c>
    </row>
    <row r="138" spans="1:6" x14ac:dyDescent="0.35">
      <c r="A138" s="2">
        <v>2008</v>
      </c>
      <c r="B138" s="3">
        <v>79.599999999999994</v>
      </c>
      <c r="C138" s="4">
        <v>24.02</v>
      </c>
      <c r="D138" s="6">
        <f t="shared" si="7"/>
        <v>0.30175879396984928</v>
      </c>
      <c r="E138" s="4">
        <f t="shared" si="8"/>
        <v>22.288</v>
      </c>
      <c r="F138" s="4">
        <f t="shared" si="9"/>
        <v>7.4293333333333331</v>
      </c>
    </row>
    <row r="139" spans="1:6" x14ac:dyDescent="0.35">
      <c r="A139" s="2">
        <v>2009</v>
      </c>
      <c r="B139" s="3">
        <v>79.8</v>
      </c>
      <c r="C139" s="4">
        <v>15.17</v>
      </c>
      <c r="D139" s="6">
        <f t="shared" si="7"/>
        <v>0.19010025062656641</v>
      </c>
      <c r="E139" s="4">
        <f t="shared" si="8"/>
        <v>22.344000000000001</v>
      </c>
      <c r="F139" s="4">
        <f t="shared" si="9"/>
        <v>7.4480000000000004</v>
      </c>
    </row>
    <row r="140" spans="1:6" x14ac:dyDescent="0.35">
      <c r="A140" s="2">
        <v>2010</v>
      </c>
      <c r="B140" s="3">
        <v>80</v>
      </c>
      <c r="C140" s="4">
        <v>20.53</v>
      </c>
      <c r="D140" s="6">
        <f t="shared" si="7"/>
        <v>0.25662499999999999</v>
      </c>
      <c r="E140" s="4">
        <f t="shared" si="8"/>
        <v>22.400000000000002</v>
      </c>
      <c r="F140" s="4">
        <f t="shared" si="9"/>
        <v>7.4666666666666677</v>
      </c>
    </row>
    <row r="141" spans="1:6" x14ac:dyDescent="0.35">
      <c r="A141" s="2">
        <v>2011</v>
      </c>
      <c r="B141" s="3">
        <v>80.2</v>
      </c>
      <c r="C141" s="4">
        <v>22.98</v>
      </c>
      <c r="D141" s="6">
        <f t="shared" si="7"/>
        <v>0.28653366583541146</v>
      </c>
      <c r="E141" s="4">
        <f t="shared" si="8"/>
        <v>22.456000000000003</v>
      </c>
      <c r="F141" s="4">
        <f t="shared" si="9"/>
        <v>7.4853333333333341</v>
      </c>
    </row>
    <row r="142" spans="1:6" x14ac:dyDescent="0.35">
      <c r="A142" s="2">
        <v>2012</v>
      </c>
      <c r="B142" s="3">
        <v>80.3</v>
      </c>
      <c r="C142" s="4">
        <v>21.21</v>
      </c>
      <c r="D142" s="6">
        <f t="shared" si="7"/>
        <v>0.264134495641345</v>
      </c>
      <c r="E142" s="4">
        <f t="shared" si="8"/>
        <v>22.484000000000002</v>
      </c>
      <c r="F142" s="4">
        <f t="shared" si="9"/>
        <v>7.4946666666666673</v>
      </c>
    </row>
    <row r="143" spans="1:6" x14ac:dyDescent="0.35">
      <c r="A143" s="2">
        <v>2013</v>
      </c>
      <c r="B143" s="3">
        <v>80.5</v>
      </c>
      <c r="C143" s="4">
        <v>21.9</v>
      </c>
      <c r="D143" s="6">
        <f t="shared" si="7"/>
        <v>0.27204968944099378</v>
      </c>
      <c r="E143" s="4">
        <f t="shared" si="8"/>
        <v>22.540000000000003</v>
      </c>
      <c r="F143" s="4">
        <f t="shared" si="9"/>
        <v>7.5133333333333345</v>
      </c>
    </row>
    <row r="144" spans="1:6" x14ac:dyDescent="0.35">
      <c r="A144" s="2">
        <v>2014</v>
      </c>
      <c r="B144" s="3">
        <v>80.599999999999994</v>
      </c>
      <c r="C144" s="4">
        <v>24.86</v>
      </c>
      <c r="D144" s="6">
        <f t="shared" si="7"/>
        <v>0.30843672456575683</v>
      </c>
      <c r="E144" s="4">
        <f t="shared" si="8"/>
        <v>22.568000000000001</v>
      </c>
      <c r="F144" s="4">
        <f t="shared" si="9"/>
        <v>7.5226666666666668</v>
      </c>
    </row>
    <row r="145" spans="1:6" x14ac:dyDescent="0.35">
      <c r="A145" s="2">
        <v>2015</v>
      </c>
      <c r="B145" s="3">
        <v>80.8</v>
      </c>
      <c r="C145" s="4">
        <v>26.49</v>
      </c>
      <c r="D145" s="6">
        <f t="shared" si="7"/>
        <v>0.32784653465346536</v>
      </c>
      <c r="E145" s="4">
        <f t="shared" si="8"/>
        <v>22.624000000000002</v>
      </c>
      <c r="F145" s="4">
        <f t="shared" si="9"/>
        <v>7.5413333333333341</v>
      </c>
    </row>
    <row r="146" spans="1:6" x14ac:dyDescent="0.35">
      <c r="A146" s="2">
        <v>2016</v>
      </c>
      <c r="B146" s="3">
        <v>81</v>
      </c>
      <c r="C146" s="4">
        <v>24.21</v>
      </c>
      <c r="D146" s="6">
        <f t="shared" si="7"/>
        <v>0.29888888888888893</v>
      </c>
      <c r="E146" s="4">
        <f t="shared" si="8"/>
        <v>22.680000000000003</v>
      </c>
      <c r="F146" s="4">
        <f t="shared" si="9"/>
        <v>7.5600000000000014</v>
      </c>
    </row>
    <row r="147" spans="1:6" x14ac:dyDescent="0.35">
      <c r="A147" s="2">
        <v>2017</v>
      </c>
      <c r="B147" s="3">
        <v>81.2</v>
      </c>
      <c r="C147" s="4">
        <v>28.06</v>
      </c>
      <c r="D147" s="6">
        <f t="shared" si="7"/>
        <v>0.34556650246305415</v>
      </c>
      <c r="E147" s="4">
        <f t="shared" si="8"/>
        <v>22.736000000000004</v>
      </c>
      <c r="F147" s="4">
        <f t="shared" si="9"/>
        <v>7.5786666666666678</v>
      </c>
    </row>
    <row r="148" spans="1:6" x14ac:dyDescent="0.35">
      <c r="A148" s="2">
        <v>2018</v>
      </c>
      <c r="B148" s="3">
        <v>81.3</v>
      </c>
      <c r="C148" s="4">
        <v>33.31</v>
      </c>
      <c r="D148" s="6">
        <f t="shared" si="7"/>
        <v>0.40971709717097177</v>
      </c>
      <c r="E148" s="4">
        <f t="shared" si="8"/>
        <v>22.764000000000003</v>
      </c>
      <c r="F148" s="4">
        <f t="shared" si="9"/>
        <v>7.588000000000001</v>
      </c>
    </row>
    <row r="149" spans="1:6" x14ac:dyDescent="0.35">
      <c r="A149" s="2">
        <v>2019</v>
      </c>
      <c r="B149" s="3">
        <v>81.5</v>
      </c>
      <c r="C149" s="4">
        <v>28.38</v>
      </c>
      <c r="D149" s="6">
        <f t="shared" si="7"/>
        <v>0.34822085889570553</v>
      </c>
      <c r="E149" s="4">
        <f t="shared" si="8"/>
        <v>22.820000000000004</v>
      </c>
      <c r="F149" s="4">
        <f t="shared" si="9"/>
        <v>7.6066666666666682</v>
      </c>
    </row>
    <row r="150" spans="1:6" x14ac:dyDescent="0.35">
      <c r="A150" s="2">
        <v>2020</v>
      </c>
      <c r="B150" s="3">
        <v>80.8</v>
      </c>
      <c r="C150" s="4">
        <v>30.99</v>
      </c>
      <c r="D150" s="6">
        <f t="shared" si="7"/>
        <v>0.38353960396039605</v>
      </c>
      <c r="E150" s="4">
        <f t="shared" si="8"/>
        <v>22.624000000000002</v>
      </c>
      <c r="F150" s="4">
        <f t="shared" si="9"/>
        <v>7.5413333333333341</v>
      </c>
    </row>
    <row r="151" spans="1:6" x14ac:dyDescent="0.35">
      <c r="A151" s="2">
        <v>2021</v>
      </c>
      <c r="B151" s="3">
        <v>80.3</v>
      </c>
      <c r="C151" s="4">
        <v>34.51</v>
      </c>
      <c r="D151" s="6">
        <f t="shared" si="7"/>
        <v>0.42976338729763386</v>
      </c>
      <c r="E151" s="4">
        <f t="shared" si="8"/>
        <v>22.484000000000002</v>
      </c>
      <c r="F151" s="4">
        <f t="shared" si="9"/>
        <v>7.4946666666666673</v>
      </c>
    </row>
    <row r="152" spans="1:6" x14ac:dyDescent="0.35">
      <c r="A152" s="2">
        <v>2022</v>
      </c>
      <c r="B152" s="3">
        <v>80.8</v>
      </c>
      <c r="C152" s="4">
        <v>36.94</v>
      </c>
      <c r="D152" s="6">
        <f t="shared" si="7"/>
        <v>0.45717821782178214</v>
      </c>
      <c r="E152" s="4">
        <f t="shared" si="8"/>
        <v>22.624000000000002</v>
      </c>
      <c r="F152" s="4">
        <f t="shared" si="9"/>
        <v>7.5413333333333341</v>
      </c>
    </row>
    <row r="153" spans="1:6" x14ac:dyDescent="0.35">
      <c r="A153" s="2">
        <v>2023</v>
      </c>
      <c r="B153" s="3">
        <v>81.3</v>
      </c>
      <c r="C153" s="4">
        <v>28.34</v>
      </c>
      <c r="D153" s="6">
        <f t="shared" si="7"/>
        <v>0.34858548585485855</v>
      </c>
      <c r="E153" s="4">
        <f t="shared" si="8"/>
        <v>22.764000000000003</v>
      </c>
      <c r="F153" s="4">
        <f t="shared" si="9"/>
        <v>7.588000000000001</v>
      </c>
    </row>
    <row r="154" spans="1:6" x14ac:dyDescent="0.35">
      <c r="A154" s="2">
        <v>2024</v>
      </c>
      <c r="B154" s="3">
        <v>81.599999999999994</v>
      </c>
      <c r="C154" s="4">
        <v>31.97</v>
      </c>
      <c r="D154" s="6">
        <f t="shared" si="7"/>
        <v>0.39178921568627451</v>
      </c>
      <c r="E154" s="4">
        <f t="shared" si="8"/>
        <v>22.847999999999999</v>
      </c>
      <c r="F154" s="4">
        <f t="shared" si="9"/>
        <v>7.6159999999999997</v>
      </c>
    </row>
    <row r="155" spans="1:6" x14ac:dyDescent="0.35">
      <c r="A155" s="2">
        <v>2025</v>
      </c>
      <c r="B155" s="3">
        <v>81.8</v>
      </c>
      <c r="C155" s="4">
        <v>37.14</v>
      </c>
      <c r="D155" s="6">
        <f t="shared" si="7"/>
        <v>0.45403422982885089</v>
      </c>
      <c r="E155" s="4">
        <f t="shared" si="8"/>
        <v>22.904</v>
      </c>
      <c r="F155" s="4">
        <f t="shared" si="9"/>
        <v>7.6346666666666669</v>
      </c>
    </row>
    <row r="156" spans="1:6" x14ac:dyDescent="0.35">
      <c r="A156" s="2">
        <v>2026</v>
      </c>
      <c r="B156" s="3">
        <v>82</v>
      </c>
      <c r="C156" s="4">
        <v>39.65</v>
      </c>
      <c r="D156" s="6">
        <f>C156/B156</f>
        <v>0.48353658536585364</v>
      </c>
      <c r="E156" s="4">
        <f t="shared" si="8"/>
        <v>22.96</v>
      </c>
      <c r="F156" s="4">
        <f t="shared" si="9"/>
        <v>7.6533333333333333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Life Expectancy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Ismael Galiano</cp:lastModifiedBy>
  <dcterms:created xsi:type="dcterms:W3CDTF">2026-09-20T09:01:09Z</dcterms:created>
  <dcterms:modified xsi:type="dcterms:W3CDTF">2026-10-03T14:43:42Z</dcterms:modified>
</cp:coreProperties>
</file>